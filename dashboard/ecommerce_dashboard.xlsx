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Narendra\Desktop\5225\Data_Notes\ecommerce-sales-dashboard-excel\dashboard\"/>
    </mc:Choice>
  </mc:AlternateContent>
  <xr:revisionPtr revIDLastSave="0" documentId="8_{586A9FA3-2C84-415A-8ED4-F0C9858FD11B}" xr6:coauthVersionLast="47" xr6:coauthVersionMax="47" xr10:uidLastSave="{00000000-0000-0000-0000-000000000000}"/>
  <bookViews>
    <workbookView xWindow="-108" yWindow="-108" windowWidth="23256" windowHeight="12456" activeTab="2" xr2:uid="{346724B3-1C49-40AE-AA36-C77CF5D6DD09}"/>
  </bookViews>
  <sheets>
    <sheet name="Sheet1" sheetId="5" r:id="rId1"/>
    <sheet name="Sheet3" sheetId="7" r:id="rId2"/>
    <sheet name="Sheet4" sheetId="8" r:id="rId3"/>
    <sheet name="Sheet5" sheetId="9" r:id="rId4"/>
    <sheet name="Data" sheetId="1" r:id="rId5"/>
    <sheet name="Questions &amp; KPIs" sheetId="2" r:id="rId6"/>
    <sheet name="Dashboard" sheetId="3" r:id="rId7"/>
    <sheet name="Logo &amp; Colors" sheetId="4" r:id="rId8"/>
  </sheets>
  <definedNames>
    <definedName name="Slicer_Gender_Value">#N/A</definedName>
    <definedName name="Slicer_Order_Mode">#N/A</definedName>
  </definedNames>
  <calcPr calcId="191029"/>
  <pivotCaches>
    <pivotCache cacheId="13"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8" l="1"/>
  <c r="J4" i="8"/>
  <c r="K4" i="8"/>
  <c r="L4" i="8"/>
  <c r="H6" i="8"/>
  <c r="I6" i="8"/>
  <c r="J6" i="8"/>
  <c r="K6" i="8"/>
  <c r="L6" i="8"/>
  <c r="H7" i="8"/>
  <c r="I7" i="8"/>
  <c r="J7" i="8"/>
  <c r="K7" i="8"/>
  <c r="L7" i="8"/>
  <c r="H8" i="8"/>
  <c r="I8" i="8"/>
  <c r="J8" i="8"/>
  <c r="K8" i="8"/>
  <c r="L8" i="8"/>
  <c r="H9" i="8"/>
  <c r="I9" i="8"/>
  <c r="J9" i="8"/>
  <c r="K9" i="8"/>
  <c r="L9" i="8"/>
  <c r="I5" i="8"/>
  <c r="J5" i="8"/>
  <c r="K5" i="8"/>
  <c r="L5" i="8"/>
  <c r="H5" i="8"/>
  <c r="J4" i="5"/>
  <c r="H4" i="5"/>
  <c r="F4" i="5"/>
  <c r="G4" i="5"/>
  <c r="I4" i="5" l="1"/>
  <c r="O2" i="1" a="1"/>
  <c r="O2" i="1" s="1"/>
  <c r="N2" i="1"/>
  <c r="M2" i="1"/>
  <c r="O2401" i="1" a="1"/>
  <c r="O2401" i="1" s="1"/>
  <c r="N2401" i="1"/>
  <c r="M2401" i="1"/>
  <c r="O2400" i="1" a="1"/>
  <c r="O2400" i="1" s="1"/>
  <c r="N2400" i="1"/>
  <c r="M2400" i="1"/>
  <c r="O2399" i="1" a="1"/>
  <c r="O2399" i="1" s="1"/>
  <c r="N2399" i="1"/>
  <c r="M2399" i="1"/>
  <c r="O2398" i="1"/>
  <c r="O2398" i="1" a="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c r="O2390" i="1" a="1"/>
  <c r="N2390" i="1"/>
  <c r="M2390" i="1"/>
  <c r="O2389" i="1" a="1"/>
  <c r="O2389" i="1" s="1"/>
  <c r="N2389" i="1"/>
  <c r="M2389" i="1"/>
  <c r="O2388" i="1"/>
  <c r="O2388" i="1" a="1"/>
  <c r="N2388" i="1"/>
  <c r="M2388" i="1"/>
  <c r="O2387" i="1" a="1"/>
  <c r="O2387" i="1" s="1"/>
  <c r="N2387" i="1"/>
  <c r="M2387" i="1"/>
  <c r="O2386" i="1" a="1"/>
  <c r="O2386" i="1" s="1"/>
  <c r="N2386" i="1"/>
  <c r="M2386" i="1"/>
  <c r="O2385" i="1"/>
  <c r="O2385" i="1" a="1"/>
  <c r="N2385" i="1"/>
  <c r="M2385" i="1"/>
  <c r="O2384" i="1"/>
  <c r="O2384" i="1" a="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c r="O2377" i="1" a="1"/>
  <c r="N2377" i="1"/>
  <c r="M2377" i="1"/>
  <c r="O2376" i="1" a="1"/>
  <c r="O2376" i="1" s="1"/>
  <c r="N2376" i="1"/>
  <c r="M2376" i="1"/>
  <c r="O2375" i="1"/>
  <c r="O2375" i="1" a="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c r="O2368" i="1" a="1"/>
  <c r="N2368" i="1"/>
  <c r="M2368" i="1"/>
  <c r="O2367" i="1"/>
  <c r="O2367" i="1" a="1"/>
  <c r="N2367" i="1"/>
  <c r="M2367" i="1"/>
  <c r="O2366" i="1" a="1"/>
  <c r="O2366" i="1" s="1"/>
  <c r="N2366" i="1"/>
  <c r="M2366" i="1"/>
  <c r="O2365" i="1" a="1"/>
  <c r="O2365" i="1" s="1"/>
  <c r="N2365" i="1"/>
  <c r="M2365" i="1"/>
  <c r="O2364" i="1"/>
  <c r="O2364" i="1" a="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c r="O2358" i="1" a="1"/>
  <c r="N2358" i="1"/>
  <c r="M2358" i="1"/>
  <c r="O2357" i="1" a="1"/>
  <c r="O2357" i="1" s="1"/>
  <c r="N2357" i="1"/>
  <c r="M2357" i="1"/>
  <c r="O2356" i="1"/>
  <c r="O2356" i="1" a="1"/>
  <c r="N2356" i="1"/>
  <c r="M2356" i="1"/>
  <c r="O2355" i="1"/>
  <c r="O2355" i="1" a="1"/>
  <c r="N2355" i="1"/>
  <c r="M2355" i="1"/>
  <c r="O2354" i="1" a="1"/>
  <c r="O2354" i="1" s="1"/>
  <c r="N2354" i="1"/>
  <c r="M2354" i="1"/>
  <c r="O2353" i="1" a="1"/>
  <c r="O2353" i="1" s="1"/>
  <c r="N2353" i="1"/>
  <c r="M2353" i="1"/>
  <c r="O2352" i="1" a="1"/>
  <c r="O2352" i="1" s="1"/>
  <c r="N2352" i="1"/>
  <c r="M2352" i="1"/>
  <c r="O2351" i="1" a="1"/>
  <c r="O2351" i="1" s="1"/>
  <c r="N2351" i="1"/>
  <c r="M2351" i="1"/>
  <c r="O2350" i="1"/>
  <c r="O2350" i="1" a="1"/>
  <c r="N2350" i="1"/>
  <c r="M2350" i="1"/>
  <c r="O2349" i="1"/>
  <c r="O2349" i="1" a="1"/>
  <c r="N2349" i="1"/>
  <c r="M2349" i="1"/>
  <c r="O2348" i="1" a="1"/>
  <c r="O2348" i="1" s="1"/>
  <c r="N2348" i="1"/>
  <c r="M2348" i="1"/>
  <c r="O2347" i="1" a="1"/>
  <c r="O2347" i="1" s="1"/>
  <c r="N2347" i="1"/>
  <c r="M2347" i="1"/>
  <c r="O2346" i="1"/>
  <c r="O2346" i="1" a="1"/>
  <c r="N2346" i="1"/>
  <c r="M2346" i="1"/>
  <c r="O2345" i="1" a="1"/>
  <c r="O2345" i="1" s="1"/>
  <c r="N2345" i="1"/>
  <c r="M2345" i="1"/>
  <c r="O2344" i="1" a="1"/>
  <c r="O2344" i="1" s="1"/>
  <c r="N2344" i="1"/>
  <c r="M2344" i="1"/>
  <c r="O2343" i="1"/>
  <c r="O2343" i="1" a="1"/>
  <c r="N2343" i="1"/>
  <c r="M2343" i="1"/>
  <c r="O2342" i="1" a="1"/>
  <c r="O2342" i="1" s="1"/>
  <c r="N2342" i="1"/>
  <c r="M2342" i="1"/>
  <c r="O2341" i="1" a="1"/>
  <c r="O2341" i="1" s="1"/>
  <c r="N2341" i="1"/>
  <c r="M2341" i="1"/>
  <c r="O2340" i="1" a="1"/>
  <c r="O2340" i="1" s="1"/>
  <c r="N2340" i="1"/>
  <c r="M2340" i="1"/>
  <c r="O2339" i="1"/>
  <c r="O2339" i="1" a="1"/>
  <c r="N2339" i="1"/>
  <c r="M2339" i="1"/>
  <c r="O2338" i="1" a="1"/>
  <c r="O2338" i="1" s="1"/>
  <c r="N2338" i="1"/>
  <c r="M2338" i="1"/>
  <c r="O2337" i="1" a="1"/>
  <c r="O2337" i="1" s="1"/>
  <c r="N2337" i="1"/>
  <c r="M2337" i="1"/>
  <c r="O2336" i="1" a="1"/>
  <c r="O2336" i="1" s="1"/>
  <c r="N2336" i="1"/>
  <c r="M2336" i="1"/>
  <c r="O2335" i="1"/>
  <c r="O2335" i="1" a="1"/>
  <c r="N2335" i="1"/>
  <c r="M2335" i="1"/>
  <c r="O2334" i="1" a="1"/>
  <c r="O2334" i="1" s="1"/>
  <c r="N2334" i="1"/>
  <c r="M2334" i="1"/>
  <c r="O2333" i="1" a="1"/>
  <c r="O2333" i="1" s="1"/>
  <c r="N2333" i="1"/>
  <c r="M2333" i="1"/>
  <c r="O2332" i="1"/>
  <c r="O2332" i="1" a="1"/>
  <c r="N2332" i="1"/>
  <c r="M2332" i="1"/>
  <c r="O2331" i="1" a="1"/>
  <c r="O2331" i="1" s="1"/>
  <c r="N2331" i="1"/>
  <c r="M2331" i="1"/>
  <c r="O2330" i="1" a="1"/>
  <c r="O2330" i="1" s="1"/>
  <c r="N2330" i="1"/>
  <c r="M2330" i="1"/>
  <c r="O2329" i="1"/>
  <c r="O2329" i="1" a="1"/>
  <c r="N2329" i="1"/>
  <c r="M2329" i="1"/>
  <c r="O2328" i="1" a="1"/>
  <c r="O2328" i="1" s="1"/>
  <c r="N2328" i="1"/>
  <c r="M2328" i="1"/>
  <c r="O2327" i="1"/>
  <c r="O2327" i="1" a="1"/>
  <c r="N2327" i="1"/>
  <c r="M2327" i="1"/>
  <c r="O2326" i="1"/>
  <c r="O2326" i="1" a="1"/>
  <c r="N2326" i="1"/>
  <c r="M2326" i="1"/>
  <c r="O2325" i="1" a="1"/>
  <c r="O2325" i="1" s="1"/>
  <c r="N2325" i="1"/>
  <c r="M2325" i="1"/>
  <c r="O2324" i="1" a="1"/>
  <c r="O2324" i="1" s="1"/>
  <c r="N2324" i="1"/>
  <c r="M2324" i="1"/>
  <c r="O2323" i="1"/>
  <c r="O2323" i="1" a="1"/>
  <c r="N2323" i="1"/>
  <c r="M2323" i="1"/>
  <c r="O2322" i="1" a="1"/>
  <c r="O2322" i="1" s="1"/>
  <c r="N2322" i="1"/>
  <c r="M2322" i="1"/>
  <c r="O2321" i="1"/>
  <c r="O2321" i="1" a="1"/>
  <c r="N2321" i="1"/>
  <c r="M2321" i="1"/>
  <c r="O2320" i="1" a="1"/>
  <c r="O2320" i="1" s="1"/>
  <c r="N2320" i="1"/>
  <c r="M2320" i="1"/>
  <c r="O2319" i="1"/>
  <c r="O2319" i="1" a="1"/>
  <c r="N2319" i="1"/>
  <c r="M2319" i="1"/>
  <c r="O2318" i="1" a="1"/>
  <c r="O2318" i="1" s="1"/>
  <c r="N2318" i="1"/>
  <c r="M2318" i="1"/>
  <c r="O2317" i="1" a="1"/>
  <c r="O2317" i="1" s="1"/>
  <c r="N2317" i="1"/>
  <c r="M2317" i="1"/>
  <c r="O2316" i="1"/>
  <c r="O2316" i="1" a="1"/>
  <c r="N2316" i="1"/>
  <c r="M2316" i="1"/>
  <c r="O2315" i="1" a="1"/>
  <c r="O2315" i="1" s="1"/>
  <c r="N2315" i="1"/>
  <c r="M2315" i="1"/>
  <c r="O2314" i="1"/>
  <c r="O2314" i="1" a="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c r="O2306" i="1" a="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c r="O2298" i="1" a="1"/>
  <c r="N2298" i="1"/>
  <c r="M2298" i="1"/>
  <c r="O2297" i="1"/>
  <c r="O2297" i="1" a="1"/>
  <c r="N2297" i="1"/>
  <c r="M2297" i="1"/>
  <c r="O2296" i="1" a="1"/>
  <c r="O2296" i="1" s="1"/>
  <c r="N2296" i="1"/>
  <c r="M2296" i="1"/>
  <c r="O2295" i="1"/>
  <c r="O2295" i="1" a="1"/>
  <c r="N2295" i="1"/>
  <c r="M2295" i="1"/>
  <c r="O2294" i="1"/>
  <c r="O2294" i="1" a="1"/>
  <c r="N2294" i="1"/>
  <c r="M2294" i="1"/>
  <c r="O2293" i="1" a="1"/>
  <c r="O2293" i="1" s="1"/>
  <c r="N2293" i="1"/>
  <c r="M2293" i="1"/>
  <c r="O2292" i="1"/>
  <c r="O2292" i="1" a="1"/>
  <c r="N2292" i="1"/>
  <c r="M2292" i="1"/>
  <c r="O2291" i="1"/>
  <c r="O2291" i="1" a="1"/>
  <c r="N2291" i="1"/>
  <c r="M2291" i="1"/>
  <c r="O2290" i="1"/>
  <c r="O2290" i="1" a="1"/>
  <c r="N2290" i="1"/>
  <c r="M2290" i="1"/>
  <c r="O2289" i="1" a="1"/>
  <c r="O2289" i="1" s="1"/>
  <c r="N2289" i="1"/>
  <c r="M2289" i="1"/>
  <c r="O2288" i="1"/>
  <c r="O2288" i="1" a="1"/>
  <c r="N2288" i="1"/>
  <c r="M2288" i="1"/>
  <c r="O2287" i="1"/>
  <c r="O2287" i="1" a="1"/>
  <c r="N2287" i="1"/>
  <c r="M2287" i="1"/>
  <c r="O2286" i="1"/>
  <c r="O2286" i="1" a="1"/>
  <c r="N2286" i="1"/>
  <c r="M2286" i="1"/>
  <c r="O2285" i="1"/>
  <c r="O2285" i="1" a="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c r="O2279" i="1" a="1"/>
  <c r="N2279" i="1"/>
  <c r="M2279" i="1"/>
  <c r="O2278" i="1" a="1"/>
  <c r="O2278" i="1" s="1"/>
  <c r="N2278" i="1"/>
  <c r="M2278" i="1"/>
  <c r="O2277" i="1"/>
  <c r="O2277" i="1" a="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c r="O2269" i="1" a="1"/>
  <c r="N2269" i="1"/>
  <c r="M2269" i="1"/>
  <c r="O2268" i="1" a="1"/>
  <c r="O2268" i="1" s="1"/>
  <c r="N2268" i="1"/>
  <c r="M2268" i="1"/>
  <c r="O2267" i="1" a="1"/>
  <c r="O2267" i="1" s="1"/>
  <c r="N2267" i="1"/>
  <c r="M2267" i="1"/>
  <c r="O2266" i="1"/>
  <c r="O2266" i="1" a="1"/>
  <c r="N2266" i="1"/>
  <c r="M2266" i="1"/>
  <c r="O2265" i="1"/>
  <c r="O2265" i="1" a="1"/>
  <c r="N2265" i="1"/>
  <c r="M2265" i="1"/>
  <c r="O2264" i="1" a="1"/>
  <c r="O2264" i="1" s="1"/>
  <c r="N2264" i="1"/>
  <c r="M2264" i="1"/>
  <c r="O2263" i="1"/>
  <c r="O2263" i="1" a="1"/>
  <c r="N2263" i="1"/>
  <c r="M2263" i="1"/>
  <c r="O2262" i="1" a="1"/>
  <c r="O2262" i="1" s="1"/>
  <c r="N2262" i="1"/>
  <c r="M2262" i="1"/>
  <c r="O2261" i="1" a="1"/>
  <c r="O2261" i="1" s="1"/>
  <c r="N2261" i="1"/>
  <c r="M2261" i="1"/>
  <c r="O2260" i="1" a="1"/>
  <c r="O2260" i="1" s="1"/>
  <c r="N2260" i="1"/>
  <c r="M2260" i="1"/>
  <c r="O2259" i="1" a="1"/>
  <c r="O2259" i="1" s="1"/>
  <c r="N2259" i="1"/>
  <c r="M2259" i="1"/>
  <c r="O2258" i="1"/>
  <c r="O2258" i="1" a="1"/>
  <c r="N2258" i="1"/>
  <c r="M2258" i="1"/>
  <c r="O2257" i="1" a="1"/>
  <c r="O2257" i="1" s="1"/>
  <c r="N2257" i="1"/>
  <c r="M2257" i="1"/>
  <c r="O2256" i="1"/>
  <c r="O2256" i="1" a="1"/>
  <c r="N2256" i="1"/>
  <c r="M2256" i="1"/>
  <c r="O2255" i="1" a="1"/>
  <c r="O2255" i="1" s="1"/>
  <c r="N2255" i="1"/>
  <c r="M2255" i="1"/>
  <c r="O2254" i="1" a="1"/>
  <c r="O2254" i="1" s="1"/>
  <c r="N2254" i="1"/>
  <c r="M2254" i="1"/>
  <c r="O2253" i="1" a="1"/>
  <c r="O2253" i="1" s="1"/>
  <c r="N2253" i="1"/>
  <c r="M2253" i="1"/>
  <c r="O2252" i="1"/>
  <c r="O2252" i="1" a="1"/>
  <c r="N2252" i="1"/>
  <c r="M2252" i="1"/>
  <c r="O2251" i="1" a="1"/>
  <c r="O2251" i="1" s="1"/>
  <c r="N2251" i="1"/>
  <c r="M2251" i="1"/>
  <c r="O2250" i="1"/>
  <c r="O2250" i="1" a="1"/>
  <c r="N2250" i="1"/>
  <c r="M2250" i="1"/>
  <c r="O2249" i="1" a="1"/>
  <c r="O2249" i="1" s="1"/>
  <c r="N2249" i="1"/>
  <c r="M2249" i="1"/>
  <c r="O2248" i="1"/>
  <c r="O2248" i="1" a="1"/>
  <c r="N2248" i="1"/>
  <c r="M2248" i="1"/>
  <c r="O2247" i="1" a="1"/>
  <c r="O2247" i="1" s="1"/>
  <c r="N2247" i="1"/>
  <c r="M2247" i="1"/>
  <c r="O2246" i="1"/>
  <c r="O2246" i="1" a="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c r="O2239" i="1" a="1"/>
  <c r="N2239" i="1"/>
  <c r="M2239" i="1"/>
  <c r="O2238" i="1" a="1"/>
  <c r="O2238" i="1" s="1"/>
  <c r="N2238" i="1"/>
  <c r="M2238" i="1"/>
  <c r="O2237" i="1"/>
  <c r="O2237" i="1" a="1"/>
  <c r="N2237" i="1"/>
  <c r="M2237" i="1"/>
  <c r="O2236" i="1" a="1"/>
  <c r="O2236" i="1" s="1"/>
  <c r="N2236" i="1"/>
  <c r="M2236" i="1"/>
  <c r="O2235" i="1"/>
  <c r="O2235" i="1" a="1"/>
  <c r="N2235" i="1"/>
  <c r="M2235" i="1"/>
  <c r="O2234" i="1"/>
  <c r="O2234" i="1" a="1"/>
  <c r="N2234" i="1"/>
  <c r="M2234" i="1"/>
  <c r="O2233" i="1" a="1"/>
  <c r="O2233" i="1" s="1"/>
  <c r="N2233" i="1"/>
  <c r="M2233" i="1"/>
  <c r="O2232" i="1"/>
  <c r="O2232" i="1" a="1"/>
  <c r="N2232" i="1"/>
  <c r="M2232" i="1"/>
  <c r="O2231" i="1" a="1"/>
  <c r="O2231" i="1" s="1"/>
  <c r="N2231" i="1"/>
  <c r="M2231" i="1"/>
  <c r="O2230" i="1" a="1"/>
  <c r="O2230" i="1" s="1"/>
  <c r="N2230" i="1"/>
  <c r="M2230" i="1"/>
  <c r="O2229" i="1" a="1"/>
  <c r="O2229" i="1" s="1"/>
  <c r="N2229" i="1"/>
  <c r="M2229" i="1"/>
  <c r="O2228" i="1" a="1"/>
  <c r="O2228" i="1" s="1"/>
  <c r="N2228" i="1"/>
  <c r="M2228" i="1"/>
  <c r="O2227" i="1"/>
  <c r="O2227" i="1" a="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c r="O2220" i="1" a="1"/>
  <c r="N2220" i="1"/>
  <c r="M2220" i="1"/>
  <c r="O2219" i="1" a="1"/>
  <c r="O2219" i="1" s="1"/>
  <c r="N2219" i="1"/>
  <c r="M2219" i="1"/>
  <c r="O2218" i="1"/>
  <c r="O2218" i="1" a="1"/>
  <c r="N2218" i="1"/>
  <c r="M2218" i="1"/>
  <c r="O2217" i="1"/>
  <c r="O2217" i="1" a="1"/>
  <c r="N2217" i="1"/>
  <c r="M2217" i="1"/>
  <c r="O2216" i="1" a="1"/>
  <c r="O2216" i="1" s="1"/>
  <c r="N2216" i="1"/>
  <c r="M2216" i="1"/>
  <c r="O2215" i="1" a="1"/>
  <c r="O2215" i="1" s="1"/>
  <c r="N2215" i="1"/>
  <c r="M2215" i="1"/>
  <c r="O2214" i="1" a="1"/>
  <c r="O2214" i="1" s="1"/>
  <c r="N2214" i="1"/>
  <c r="M2214" i="1"/>
  <c r="O2213" i="1"/>
  <c r="O2213" i="1" a="1"/>
  <c r="N2213" i="1"/>
  <c r="M2213" i="1"/>
  <c r="O2212" i="1" a="1"/>
  <c r="O2212" i="1" s="1"/>
  <c r="N2212" i="1"/>
  <c r="M2212" i="1"/>
  <c r="O2211" i="1" a="1"/>
  <c r="O2211" i="1" s="1"/>
  <c r="N2211" i="1"/>
  <c r="M2211" i="1"/>
  <c r="O2210" i="1" a="1"/>
  <c r="O2210" i="1" s="1"/>
  <c r="N2210" i="1"/>
  <c r="M2210" i="1"/>
  <c r="O2209" i="1"/>
  <c r="O2209" i="1" a="1"/>
  <c r="N2209" i="1"/>
  <c r="M2209" i="1"/>
  <c r="O2208" i="1"/>
  <c r="O2208" i="1" a="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c r="O2200" i="1" a="1"/>
  <c r="N2200" i="1"/>
  <c r="M2200" i="1"/>
  <c r="O2199" i="1"/>
  <c r="O2199" i="1" a="1"/>
  <c r="N2199" i="1"/>
  <c r="M2199" i="1"/>
  <c r="O2198" i="1" a="1"/>
  <c r="O2198" i="1" s="1"/>
  <c r="N2198" i="1"/>
  <c r="M2198" i="1"/>
  <c r="O2197" i="1"/>
  <c r="O2197" i="1" a="1"/>
  <c r="N2197" i="1"/>
  <c r="M2197" i="1"/>
  <c r="O2196" i="1" a="1"/>
  <c r="O2196" i="1" s="1"/>
  <c r="N2196" i="1"/>
  <c r="M2196" i="1"/>
  <c r="O2195" i="1" a="1"/>
  <c r="O2195" i="1" s="1"/>
  <c r="N2195" i="1"/>
  <c r="M2195" i="1"/>
  <c r="O2194" i="1"/>
  <c r="O2194" i="1" a="1"/>
  <c r="N2194" i="1"/>
  <c r="M2194" i="1"/>
  <c r="O2193" i="1" a="1"/>
  <c r="O2193" i="1" s="1"/>
  <c r="N2193" i="1"/>
  <c r="M2193" i="1"/>
  <c r="O2192" i="1"/>
  <c r="O2192" i="1" a="1"/>
  <c r="N2192" i="1"/>
  <c r="M2192" i="1"/>
  <c r="O2191" i="1" a="1"/>
  <c r="O2191" i="1" s="1"/>
  <c r="N2191" i="1"/>
  <c r="M2191" i="1"/>
  <c r="O2190" i="1" a="1"/>
  <c r="O2190" i="1" s="1"/>
  <c r="N2190" i="1"/>
  <c r="M2190" i="1"/>
  <c r="O2189" i="1"/>
  <c r="O2189" i="1" a="1"/>
  <c r="N2189" i="1"/>
  <c r="M2189" i="1"/>
  <c r="O2188" i="1"/>
  <c r="O2188" i="1" a="1"/>
  <c r="N2188" i="1"/>
  <c r="M2188" i="1"/>
  <c r="O2187" i="1" a="1"/>
  <c r="O2187" i="1" s="1"/>
  <c r="N2187" i="1"/>
  <c r="M2187" i="1"/>
  <c r="O2186" i="1" a="1"/>
  <c r="O2186" i="1" s="1"/>
  <c r="N2186" i="1"/>
  <c r="M2186" i="1"/>
  <c r="O2185" i="1" a="1"/>
  <c r="O2185" i="1" s="1"/>
  <c r="N2185" i="1"/>
  <c r="M2185" i="1"/>
  <c r="O2184" i="1" a="1"/>
  <c r="O2184" i="1" s="1"/>
  <c r="N2184" i="1"/>
  <c r="M2184" i="1"/>
  <c r="O2183" i="1"/>
  <c r="O2183" i="1" a="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c r="O2176" i="1" a="1"/>
  <c r="N2176" i="1"/>
  <c r="M2176" i="1"/>
  <c r="O2175" i="1" a="1"/>
  <c r="O2175" i="1" s="1"/>
  <c r="N2175" i="1"/>
  <c r="M2175" i="1"/>
  <c r="O2174" i="1"/>
  <c r="O2174" i="1" a="1"/>
  <c r="N2174" i="1"/>
  <c r="M2174" i="1"/>
  <c r="O2173" i="1" a="1"/>
  <c r="O2173" i="1" s="1"/>
  <c r="N2173" i="1"/>
  <c r="M2173" i="1"/>
  <c r="O2172" i="1" a="1"/>
  <c r="O2172" i="1" s="1"/>
  <c r="N2172" i="1"/>
  <c r="M2172" i="1"/>
  <c r="O2171" i="1"/>
  <c r="O2171" i="1" a="1"/>
  <c r="N2171" i="1"/>
  <c r="M2171" i="1"/>
  <c r="O2170" i="1" a="1"/>
  <c r="O2170" i="1" s="1"/>
  <c r="N2170" i="1"/>
  <c r="M2170" i="1"/>
  <c r="O2169" i="1" a="1"/>
  <c r="O2169" i="1" s="1"/>
  <c r="N2169" i="1"/>
  <c r="M2169" i="1"/>
  <c r="O2168" i="1"/>
  <c r="O2168" i="1" a="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c r="O2159" i="1" a="1"/>
  <c r="N2159" i="1"/>
  <c r="M2159" i="1"/>
  <c r="O2158" i="1" a="1"/>
  <c r="O2158" i="1" s="1"/>
  <c r="N2158" i="1"/>
  <c r="M2158" i="1"/>
  <c r="O2157" i="1" a="1"/>
  <c r="O2157" i="1" s="1"/>
  <c r="N2157" i="1"/>
  <c r="M2157" i="1"/>
  <c r="O2156" i="1" a="1"/>
  <c r="O2156" i="1" s="1"/>
  <c r="N2156" i="1"/>
  <c r="M2156" i="1"/>
  <c r="O2155" i="1"/>
  <c r="O2155" i="1" a="1"/>
  <c r="N2155" i="1"/>
  <c r="M2155" i="1"/>
  <c r="O2154" i="1"/>
  <c r="O2154" i="1" a="1"/>
  <c r="N2154" i="1"/>
  <c r="M2154" i="1"/>
  <c r="O2153" i="1" a="1"/>
  <c r="O2153" i="1" s="1"/>
  <c r="N2153" i="1"/>
  <c r="M2153" i="1"/>
  <c r="O2152" i="1"/>
  <c r="O2152" i="1" a="1"/>
  <c r="N2152" i="1"/>
  <c r="M2152" i="1"/>
  <c r="O2151" i="1"/>
  <c r="O2151" i="1" a="1"/>
  <c r="N2151" i="1"/>
  <c r="M2151" i="1"/>
  <c r="O2150" i="1"/>
  <c r="O2150" i="1" a="1"/>
  <c r="N2150" i="1"/>
  <c r="M2150" i="1"/>
  <c r="O2149" i="1" a="1"/>
  <c r="O2149" i="1" s="1"/>
  <c r="N2149" i="1"/>
  <c r="M2149" i="1"/>
  <c r="O2148" i="1"/>
  <c r="O2148" i="1" a="1"/>
  <c r="N2148" i="1"/>
  <c r="M2148" i="1"/>
  <c r="O2147" i="1"/>
  <c r="O2147" i="1" a="1"/>
  <c r="N2147" i="1"/>
  <c r="M2147" i="1"/>
  <c r="O2146" i="1" a="1"/>
  <c r="O2146" i="1" s="1"/>
  <c r="N2146" i="1"/>
  <c r="M2146" i="1"/>
  <c r="O2145" i="1" a="1"/>
  <c r="O2145" i="1" s="1"/>
  <c r="N2145" i="1"/>
  <c r="M2145" i="1"/>
  <c r="O2144" i="1"/>
  <c r="O2144" i="1" a="1"/>
  <c r="N2144" i="1"/>
  <c r="M2144" i="1"/>
  <c r="O2143" i="1" a="1"/>
  <c r="O2143" i="1" s="1"/>
  <c r="N2143" i="1"/>
  <c r="M2143" i="1"/>
  <c r="O2142" i="1" a="1"/>
  <c r="O2142" i="1" s="1"/>
  <c r="N2142" i="1"/>
  <c r="M2142" i="1"/>
  <c r="O2141" i="1" a="1"/>
  <c r="O2141" i="1" s="1"/>
  <c r="N2141" i="1"/>
  <c r="M2141" i="1"/>
  <c r="O2140" i="1" a="1"/>
  <c r="O2140" i="1" s="1"/>
  <c r="N2140" i="1"/>
  <c r="M2140" i="1"/>
  <c r="O2139" i="1"/>
  <c r="O2139" i="1" a="1"/>
  <c r="N2139" i="1"/>
  <c r="M2139" i="1"/>
  <c r="O2138" i="1"/>
  <c r="O2138" i="1" a="1"/>
  <c r="N2138" i="1"/>
  <c r="M2138" i="1"/>
  <c r="O2137" i="1" a="1"/>
  <c r="O2137" i="1" s="1"/>
  <c r="N2137" i="1"/>
  <c r="M2137" i="1"/>
  <c r="O2136" i="1"/>
  <c r="O2136" i="1" a="1"/>
  <c r="N2136" i="1"/>
  <c r="M2136" i="1"/>
  <c r="O2135" i="1" a="1"/>
  <c r="O2135" i="1" s="1"/>
  <c r="N2135" i="1"/>
  <c r="M2135" i="1"/>
  <c r="O2134" i="1" a="1"/>
  <c r="O2134" i="1" s="1"/>
  <c r="N2134" i="1"/>
  <c r="M2134" i="1"/>
  <c r="O2133" i="1"/>
  <c r="O2133" i="1" a="1"/>
  <c r="N2133" i="1"/>
  <c r="M2133" i="1"/>
  <c r="O2132" i="1" a="1"/>
  <c r="O2132" i="1" s="1"/>
  <c r="N2132" i="1"/>
  <c r="M2132" i="1"/>
  <c r="O2131" i="1" a="1"/>
  <c r="O2131" i="1" s="1"/>
  <c r="N2131" i="1"/>
  <c r="M2131" i="1"/>
  <c r="O2130" i="1"/>
  <c r="O2130" i="1" a="1"/>
  <c r="N2130" i="1"/>
  <c r="M2130" i="1"/>
  <c r="O2129" i="1" a="1"/>
  <c r="O2129" i="1" s="1"/>
  <c r="N2129" i="1"/>
  <c r="M2129" i="1"/>
  <c r="O2128" i="1" a="1"/>
  <c r="O2128" i="1" s="1"/>
  <c r="N2128" i="1"/>
  <c r="M2128" i="1"/>
  <c r="O2127" i="1" a="1"/>
  <c r="O2127" i="1" s="1"/>
  <c r="N2127" i="1"/>
  <c r="M2127" i="1"/>
  <c r="O2126" i="1" a="1"/>
  <c r="O2126" i="1" s="1"/>
  <c r="N2126" i="1"/>
  <c r="M2126" i="1"/>
  <c r="O2125" i="1"/>
  <c r="O2125" i="1" a="1"/>
  <c r="N2125" i="1"/>
  <c r="M2125" i="1"/>
  <c r="O2124" i="1"/>
  <c r="O2124" i="1" a="1"/>
  <c r="N2124" i="1"/>
  <c r="M2124" i="1"/>
  <c r="O2123" i="1"/>
  <c r="O2123" i="1" a="1"/>
  <c r="N2123" i="1"/>
  <c r="M2123" i="1"/>
  <c r="O2122" i="1" a="1"/>
  <c r="O2122" i="1" s="1"/>
  <c r="N2122" i="1"/>
  <c r="M2122" i="1"/>
  <c r="O2121" i="1" a="1"/>
  <c r="O2121" i="1" s="1"/>
  <c r="N2121" i="1"/>
  <c r="M2121" i="1"/>
  <c r="O2120" i="1"/>
  <c r="O2120" i="1" a="1"/>
  <c r="N2120" i="1"/>
  <c r="M2120" i="1"/>
  <c r="O2119" i="1"/>
  <c r="O2119" i="1" a="1"/>
  <c r="N2119" i="1"/>
  <c r="M2119" i="1"/>
  <c r="O2118" i="1"/>
  <c r="O2118" i="1" a="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c r="O2110" i="1" a="1"/>
  <c r="N2110" i="1"/>
  <c r="M2110" i="1"/>
  <c r="O2109" i="1"/>
  <c r="O2109" i="1" a="1"/>
  <c r="N2109" i="1"/>
  <c r="M2109" i="1"/>
  <c r="O2108" i="1" a="1"/>
  <c r="O2108" i="1" s="1"/>
  <c r="N2108" i="1"/>
  <c r="M2108" i="1"/>
  <c r="O2107" i="1" a="1"/>
  <c r="O2107" i="1" s="1"/>
  <c r="N2107" i="1"/>
  <c r="M2107" i="1"/>
  <c r="O2106" i="1" a="1"/>
  <c r="O2106" i="1" s="1"/>
  <c r="N2106" i="1"/>
  <c r="M2106" i="1"/>
  <c r="O2105" i="1" a="1"/>
  <c r="O2105" i="1" s="1"/>
  <c r="N2105" i="1"/>
  <c r="M2105" i="1"/>
  <c r="O2104" i="1"/>
  <c r="O2104" i="1" a="1"/>
  <c r="N2104" i="1"/>
  <c r="M2104" i="1"/>
  <c r="O2103" i="1" a="1"/>
  <c r="O2103" i="1" s="1"/>
  <c r="N2103" i="1"/>
  <c r="M2103" i="1"/>
  <c r="O2102" i="1" a="1"/>
  <c r="O2102" i="1" s="1"/>
  <c r="N2102" i="1"/>
  <c r="M2102" i="1"/>
  <c r="O2101" i="1"/>
  <c r="O2101" i="1" a="1"/>
  <c r="N2101" i="1"/>
  <c r="M2101" i="1"/>
  <c r="O2100" i="1" a="1"/>
  <c r="O2100" i="1" s="1"/>
  <c r="N2100" i="1"/>
  <c r="M2100" i="1"/>
  <c r="O2099" i="1"/>
  <c r="O2099" i="1" a="1"/>
  <c r="N2099" i="1"/>
  <c r="M2099" i="1"/>
  <c r="O2098" i="1"/>
  <c r="O2098" i="1" a="1"/>
  <c r="N2098" i="1"/>
  <c r="M2098" i="1"/>
  <c r="O2097" i="1" a="1"/>
  <c r="O2097" i="1" s="1"/>
  <c r="N2097" i="1"/>
  <c r="M2097" i="1"/>
  <c r="O2096" i="1"/>
  <c r="O2096" i="1" a="1"/>
  <c r="N2096" i="1"/>
  <c r="M2096" i="1"/>
  <c r="O2095" i="1"/>
  <c r="O2095" i="1" a="1"/>
  <c r="N2095" i="1"/>
  <c r="M2095" i="1"/>
  <c r="O2094" i="1" a="1"/>
  <c r="O2094" i="1" s="1"/>
  <c r="N2094" i="1"/>
  <c r="M2094" i="1"/>
  <c r="O2093" i="1" a="1"/>
  <c r="O2093" i="1" s="1"/>
  <c r="N2093" i="1"/>
  <c r="M2093" i="1"/>
  <c r="O2092" i="1"/>
  <c r="O2092" i="1" a="1"/>
  <c r="N2092" i="1"/>
  <c r="M2092" i="1"/>
  <c r="O2091" i="1"/>
  <c r="O2091" i="1" a="1"/>
  <c r="N2091" i="1"/>
  <c r="M2091" i="1"/>
  <c r="O2090" i="1"/>
  <c r="O2090" i="1" a="1"/>
  <c r="N2090" i="1"/>
  <c r="M2090" i="1"/>
  <c r="O2089" i="1"/>
  <c r="O2089" i="1" a="1"/>
  <c r="N2089" i="1"/>
  <c r="M2089" i="1"/>
  <c r="O2088" i="1" a="1"/>
  <c r="O2088" i="1" s="1"/>
  <c r="N2088" i="1"/>
  <c r="M2088" i="1"/>
  <c r="O2087" i="1" a="1"/>
  <c r="O2087" i="1" s="1"/>
  <c r="N2087" i="1"/>
  <c r="M2087" i="1"/>
  <c r="O2086" i="1" a="1"/>
  <c r="O2086" i="1" s="1"/>
  <c r="N2086" i="1"/>
  <c r="M2086" i="1"/>
  <c r="O2085" i="1"/>
  <c r="O2085" i="1" a="1"/>
  <c r="N2085" i="1"/>
  <c r="M2085" i="1"/>
  <c r="O2084" i="1" a="1"/>
  <c r="O2084" i="1" s="1"/>
  <c r="N2084" i="1"/>
  <c r="M2084" i="1"/>
  <c r="O2083" i="1"/>
  <c r="O2083" i="1" a="1"/>
  <c r="N2083" i="1"/>
  <c r="M2083" i="1"/>
  <c r="O2082" i="1"/>
  <c r="O2082" i="1" a="1"/>
  <c r="N2082" i="1"/>
  <c r="M2082" i="1"/>
  <c r="O2081" i="1"/>
  <c r="O2081" i="1" a="1"/>
  <c r="N2081" i="1"/>
  <c r="M2081" i="1"/>
  <c r="O2080" i="1"/>
  <c r="O2080" i="1" a="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c r="O2071" i="1" a="1"/>
  <c r="N2071" i="1"/>
  <c r="M2071" i="1"/>
  <c r="O2070" i="1"/>
  <c r="O2070" i="1" a="1"/>
  <c r="N2070" i="1"/>
  <c r="M2070" i="1"/>
  <c r="O2069" i="1"/>
  <c r="O2069" i="1" a="1"/>
  <c r="N2069" i="1"/>
  <c r="M2069" i="1"/>
  <c r="O2068" i="1"/>
  <c r="O2068" i="1" a="1"/>
  <c r="N2068" i="1"/>
  <c r="M2068" i="1"/>
  <c r="O2067" i="1"/>
  <c r="O2067" i="1" a="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c r="O2060" i="1" a="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c r="O2053" i="1" a="1"/>
  <c r="N2053" i="1"/>
  <c r="M2053" i="1"/>
  <c r="O2052" i="1"/>
  <c r="O2052" i="1" a="1"/>
  <c r="N2052" i="1"/>
  <c r="M2052" i="1"/>
  <c r="O2051" i="1" a="1"/>
  <c r="O2051" i="1" s="1"/>
  <c r="N2051" i="1"/>
  <c r="M2051" i="1"/>
  <c r="O2050" i="1"/>
  <c r="O2050" i="1" a="1"/>
  <c r="N2050" i="1"/>
  <c r="M2050" i="1"/>
  <c r="O2049" i="1" a="1"/>
  <c r="O2049" i="1" s="1"/>
  <c r="N2049" i="1"/>
  <c r="M2049" i="1"/>
  <c r="O2048" i="1" a="1"/>
  <c r="O2048" i="1" s="1"/>
  <c r="N2048" i="1"/>
  <c r="M2048" i="1"/>
  <c r="O2047" i="1"/>
  <c r="O2047" i="1" a="1"/>
  <c r="N2047" i="1"/>
  <c r="M2047" i="1"/>
  <c r="O2046" i="1" a="1"/>
  <c r="O2046" i="1" s="1"/>
  <c r="N2046" i="1"/>
  <c r="M2046" i="1"/>
  <c r="O2045" i="1" a="1"/>
  <c r="O2045" i="1" s="1"/>
  <c r="N2045" i="1"/>
  <c r="M2045" i="1"/>
  <c r="O2044" i="1" a="1"/>
  <c r="O2044" i="1" s="1"/>
  <c r="N2044" i="1"/>
  <c r="M2044" i="1"/>
  <c r="O2043" i="1"/>
  <c r="O2043" i="1" a="1"/>
  <c r="N2043" i="1"/>
  <c r="M2043" i="1"/>
  <c r="O2042" i="1"/>
  <c r="O2042" i="1" a="1"/>
  <c r="N2042" i="1"/>
  <c r="M2042" i="1"/>
  <c r="O2041" i="1"/>
  <c r="O2041" i="1" a="1"/>
  <c r="N2041" i="1"/>
  <c r="M2041" i="1"/>
  <c r="O2040" i="1" a="1"/>
  <c r="O2040" i="1" s="1"/>
  <c r="N2040" i="1"/>
  <c r="M2040" i="1"/>
  <c r="O2039" i="1" a="1"/>
  <c r="O2039" i="1" s="1"/>
  <c r="N2039" i="1"/>
  <c r="M2039" i="1"/>
  <c r="O2038" i="1"/>
  <c r="O2038" i="1" a="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c r="O2029" i="1" a="1"/>
  <c r="N2029" i="1"/>
  <c r="M2029" i="1"/>
  <c r="O2028" i="1" a="1"/>
  <c r="O2028" i="1" s="1"/>
  <c r="N2028" i="1"/>
  <c r="M2028" i="1"/>
  <c r="O2027" i="1"/>
  <c r="O2027" i="1" a="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c r="O2021" i="1" a="1"/>
  <c r="N2021" i="1"/>
  <c r="M2021" i="1"/>
  <c r="O2020" i="1" a="1"/>
  <c r="O2020" i="1" s="1"/>
  <c r="N2020" i="1"/>
  <c r="M2020" i="1"/>
  <c r="O2019" i="1" a="1"/>
  <c r="O2019" i="1" s="1"/>
  <c r="N2019" i="1"/>
  <c r="M2019" i="1"/>
  <c r="O2018" i="1"/>
  <c r="O2018" i="1" a="1"/>
  <c r="N2018" i="1"/>
  <c r="M2018" i="1"/>
  <c r="O2017" i="1"/>
  <c r="O2017" i="1" a="1"/>
  <c r="N2017" i="1"/>
  <c r="M2017" i="1"/>
  <c r="O2016" i="1" a="1"/>
  <c r="O2016" i="1" s="1"/>
  <c r="N2016" i="1"/>
  <c r="M2016" i="1"/>
  <c r="O2015" i="1"/>
  <c r="O2015" i="1" a="1"/>
  <c r="N2015" i="1"/>
  <c r="M2015" i="1"/>
  <c r="O2014" i="1"/>
  <c r="O2014" i="1" a="1"/>
  <c r="N2014" i="1"/>
  <c r="M2014" i="1"/>
  <c r="O2013" i="1"/>
  <c r="O2013" i="1" a="1"/>
  <c r="N2013" i="1"/>
  <c r="M2013" i="1"/>
  <c r="O2012" i="1"/>
  <c r="O2012" i="1" a="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c r="O2001" i="1" a="1"/>
  <c r="N2001" i="1"/>
  <c r="M2001" i="1"/>
  <c r="O2000" i="1"/>
  <c r="O2000" i="1" a="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c r="O1992" i="1" a="1"/>
  <c r="N1992" i="1"/>
  <c r="M1992" i="1"/>
  <c r="O1991" i="1"/>
  <c r="O1991" i="1" a="1"/>
  <c r="N1991" i="1"/>
  <c r="M1991" i="1"/>
  <c r="O1990" i="1" a="1"/>
  <c r="O1990" i="1" s="1"/>
  <c r="N1990" i="1"/>
  <c r="M1990" i="1"/>
  <c r="O1989" i="1" a="1"/>
  <c r="O1989" i="1" s="1"/>
  <c r="N1989" i="1"/>
  <c r="M1989" i="1"/>
  <c r="O1988" i="1" a="1"/>
  <c r="O1988" i="1" s="1"/>
  <c r="N1988" i="1"/>
  <c r="M1988" i="1"/>
  <c r="O1987" i="1"/>
  <c r="O1987" i="1" a="1"/>
  <c r="N1987" i="1"/>
  <c r="M1987" i="1"/>
  <c r="O1986" i="1"/>
  <c r="O1986" i="1" a="1"/>
  <c r="N1986" i="1"/>
  <c r="M1986" i="1"/>
  <c r="O1985" i="1"/>
  <c r="O1985" i="1" a="1"/>
  <c r="N1985" i="1"/>
  <c r="M1985" i="1"/>
  <c r="O1984" i="1" a="1"/>
  <c r="O1984" i="1" s="1"/>
  <c r="N1984" i="1"/>
  <c r="M1984" i="1"/>
  <c r="O1983" i="1"/>
  <c r="O1983" i="1" a="1"/>
  <c r="N1983" i="1"/>
  <c r="M1983" i="1"/>
  <c r="O1982" i="1"/>
  <c r="O1982" i="1" a="1"/>
  <c r="N1982" i="1"/>
  <c r="M1982" i="1"/>
  <c r="O1981" i="1" a="1"/>
  <c r="O1981" i="1" s="1"/>
  <c r="N1981" i="1"/>
  <c r="M1981" i="1"/>
  <c r="O1980" i="1"/>
  <c r="O1980" i="1" a="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c r="O1973" i="1" a="1"/>
  <c r="N1973" i="1"/>
  <c r="M1973" i="1"/>
  <c r="O1972" i="1"/>
  <c r="O1972" i="1" a="1"/>
  <c r="N1972" i="1"/>
  <c r="M1972" i="1"/>
  <c r="O1971" i="1"/>
  <c r="O1971" i="1" a="1"/>
  <c r="N1971" i="1"/>
  <c r="M1971" i="1"/>
  <c r="O1970" i="1" a="1"/>
  <c r="O1970" i="1" s="1"/>
  <c r="N1970" i="1"/>
  <c r="M1970" i="1"/>
  <c r="O1969" i="1"/>
  <c r="O1969" i="1" a="1"/>
  <c r="N1969" i="1"/>
  <c r="M1969" i="1"/>
  <c r="O1968" i="1" a="1"/>
  <c r="O1968" i="1" s="1"/>
  <c r="N1968" i="1"/>
  <c r="M1968" i="1"/>
  <c r="O1967" i="1" a="1"/>
  <c r="O1967" i="1" s="1"/>
  <c r="N1967" i="1"/>
  <c r="M1967" i="1"/>
  <c r="O1966" i="1" a="1"/>
  <c r="O1966" i="1" s="1"/>
  <c r="N1966" i="1"/>
  <c r="M1966" i="1"/>
  <c r="O1965" i="1" a="1"/>
  <c r="O1965" i="1" s="1"/>
  <c r="N1965" i="1"/>
  <c r="M1965" i="1"/>
  <c r="O1964" i="1"/>
  <c r="O1964" i="1" a="1"/>
  <c r="N1964" i="1"/>
  <c r="M1964" i="1"/>
  <c r="O1963" i="1"/>
  <c r="O1963" i="1" a="1"/>
  <c r="N1963" i="1"/>
  <c r="M1963" i="1"/>
  <c r="O1962" i="1"/>
  <c r="O1962" i="1" a="1"/>
  <c r="N1962" i="1"/>
  <c r="M1962" i="1"/>
  <c r="O1961" i="1" a="1"/>
  <c r="O1961" i="1" s="1"/>
  <c r="N1961" i="1"/>
  <c r="M1961" i="1"/>
  <c r="O1960" i="1" a="1"/>
  <c r="O1960" i="1" s="1"/>
  <c r="N1960" i="1"/>
  <c r="M1960" i="1"/>
  <c r="O1959" i="1" a="1"/>
  <c r="O1959" i="1" s="1"/>
  <c r="N1959" i="1"/>
  <c r="M1959" i="1"/>
  <c r="O1958" i="1" a="1"/>
  <c r="O1958" i="1" s="1"/>
  <c r="N1958" i="1"/>
  <c r="M1958" i="1"/>
  <c r="O1957" i="1"/>
  <c r="O1957" i="1" a="1"/>
  <c r="N1957" i="1"/>
  <c r="M1957" i="1"/>
  <c r="O1956" i="1"/>
  <c r="O1956" i="1" a="1"/>
  <c r="N1956" i="1"/>
  <c r="M1956" i="1"/>
  <c r="O1955" i="1" a="1"/>
  <c r="O1955" i="1" s="1"/>
  <c r="N1955" i="1"/>
  <c r="M1955" i="1"/>
  <c r="O1954" i="1"/>
  <c r="O1954" i="1" a="1"/>
  <c r="N1954" i="1"/>
  <c r="M1954" i="1"/>
  <c r="O1953" i="1" a="1"/>
  <c r="O1953" i="1" s="1"/>
  <c r="N1953" i="1"/>
  <c r="M1953" i="1"/>
  <c r="O1952" i="1"/>
  <c r="O1952" i="1" a="1"/>
  <c r="N1952" i="1"/>
  <c r="M1952" i="1"/>
  <c r="O1951" i="1"/>
  <c r="O1951" i="1" a="1"/>
  <c r="N1951" i="1"/>
  <c r="M1951" i="1"/>
  <c r="O1950" i="1" a="1"/>
  <c r="O1950" i="1" s="1"/>
  <c r="N1950" i="1"/>
  <c r="M1950" i="1"/>
  <c r="O1949" i="1" a="1"/>
  <c r="O1949" i="1" s="1"/>
  <c r="N1949" i="1"/>
  <c r="M1949" i="1"/>
  <c r="O1948" i="1"/>
  <c r="O1948" i="1" a="1"/>
  <c r="N1948" i="1"/>
  <c r="M1948" i="1"/>
  <c r="O1947" i="1"/>
  <c r="O1947" i="1" a="1"/>
  <c r="N1947" i="1"/>
  <c r="M1947" i="1"/>
  <c r="O1946" i="1" a="1"/>
  <c r="O1946" i="1" s="1"/>
  <c r="N1946" i="1"/>
  <c r="M1946" i="1"/>
  <c r="O1945" i="1"/>
  <c r="O1945" i="1" a="1"/>
  <c r="N1945" i="1"/>
  <c r="M1945" i="1"/>
  <c r="O1944" i="1"/>
  <c r="O1944" i="1" a="1"/>
  <c r="N1944" i="1"/>
  <c r="M1944" i="1"/>
  <c r="O1943" i="1"/>
  <c r="O1943" i="1" a="1"/>
  <c r="N1943" i="1"/>
  <c r="M1943" i="1"/>
  <c r="O1942" i="1" a="1"/>
  <c r="O1942" i="1" s="1"/>
  <c r="N1942" i="1"/>
  <c r="M1942" i="1"/>
  <c r="O1941" i="1" a="1"/>
  <c r="O1941" i="1" s="1"/>
  <c r="N1941" i="1"/>
  <c r="M1941" i="1"/>
  <c r="O1940" i="1" a="1"/>
  <c r="O1940" i="1" s="1"/>
  <c r="N1940" i="1"/>
  <c r="M1940" i="1"/>
  <c r="O1939" i="1" a="1"/>
  <c r="O1939" i="1" s="1"/>
  <c r="N1939" i="1"/>
  <c r="M1939" i="1"/>
  <c r="O1938" i="1"/>
  <c r="O1938" i="1" a="1"/>
  <c r="N1938" i="1"/>
  <c r="M1938" i="1"/>
  <c r="O1937" i="1"/>
  <c r="O1937" i="1" a="1"/>
  <c r="N1937" i="1"/>
  <c r="M1937" i="1"/>
  <c r="O1936" i="1" a="1"/>
  <c r="O1936" i="1" s="1"/>
  <c r="N1936" i="1"/>
  <c r="M1936" i="1"/>
  <c r="O1935" i="1" a="1"/>
  <c r="O1935" i="1" s="1"/>
  <c r="N1935" i="1"/>
  <c r="M1935" i="1"/>
  <c r="O1934" i="1"/>
  <c r="O1934" i="1" a="1"/>
  <c r="N1934" i="1"/>
  <c r="M1934" i="1"/>
  <c r="O1933" i="1" a="1"/>
  <c r="O1933" i="1" s="1"/>
  <c r="N1933" i="1"/>
  <c r="M1933" i="1"/>
  <c r="O1932" i="1" a="1"/>
  <c r="O1932" i="1" s="1"/>
  <c r="N1932" i="1"/>
  <c r="M1932" i="1"/>
  <c r="O1931" i="1" a="1"/>
  <c r="O1931" i="1" s="1"/>
  <c r="N1931" i="1"/>
  <c r="M1931" i="1"/>
  <c r="O1930" i="1"/>
  <c r="O1930" i="1" a="1"/>
  <c r="N1930" i="1"/>
  <c r="M1930" i="1"/>
  <c r="O1929" i="1"/>
  <c r="O1929" i="1" a="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c r="O1908" i="1" a="1"/>
  <c r="N1908" i="1"/>
  <c r="M1908" i="1"/>
  <c r="O1907" i="1" a="1"/>
  <c r="O1907" i="1" s="1"/>
  <c r="N1907" i="1"/>
  <c r="M1907" i="1"/>
  <c r="O1906" i="1" a="1"/>
  <c r="O1906" i="1" s="1"/>
  <c r="N1906" i="1"/>
  <c r="M1906" i="1"/>
  <c r="O1905" i="1"/>
  <c r="O1905" i="1" a="1"/>
  <c r="N1905" i="1"/>
  <c r="M1905" i="1"/>
  <c r="O1904" i="1" a="1"/>
  <c r="O1904" i="1" s="1"/>
  <c r="N1904" i="1"/>
  <c r="M1904" i="1"/>
  <c r="O1903" i="1"/>
  <c r="O1903" i="1" a="1"/>
  <c r="N1903" i="1"/>
  <c r="M1903" i="1"/>
  <c r="O1902" i="1"/>
  <c r="O1902" i="1" a="1"/>
  <c r="N1902" i="1"/>
  <c r="M1902" i="1"/>
  <c r="O1901" i="1" a="1"/>
  <c r="O1901" i="1" s="1"/>
  <c r="N1901" i="1"/>
  <c r="M1901" i="1"/>
  <c r="O1900" i="1" a="1"/>
  <c r="O1900" i="1" s="1"/>
  <c r="N1900" i="1"/>
  <c r="M1900" i="1"/>
  <c r="O1899" i="1"/>
  <c r="O1899" i="1" a="1"/>
  <c r="N1899" i="1"/>
  <c r="M1899" i="1"/>
  <c r="O1898" i="1" a="1"/>
  <c r="O1898" i="1" s="1"/>
  <c r="N1898" i="1"/>
  <c r="M1898" i="1"/>
  <c r="O1897" i="1" a="1"/>
  <c r="O1897" i="1" s="1"/>
  <c r="N1897" i="1"/>
  <c r="M1897" i="1"/>
  <c r="O1896" i="1" a="1"/>
  <c r="O1896" i="1" s="1"/>
  <c r="N1896" i="1"/>
  <c r="M1896" i="1"/>
  <c r="O1895" i="1" a="1"/>
  <c r="O1895" i="1" s="1"/>
  <c r="N1895" i="1"/>
  <c r="M1895" i="1"/>
  <c r="O1894" i="1"/>
  <c r="O1894" i="1" a="1"/>
  <c r="N1894" i="1"/>
  <c r="M1894" i="1"/>
  <c r="O1893" i="1"/>
  <c r="O1893" i="1" a="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c r="O1886" i="1" a="1"/>
  <c r="N1886" i="1"/>
  <c r="M1886" i="1"/>
  <c r="O1885" i="1"/>
  <c r="O1885" i="1" a="1"/>
  <c r="N1885" i="1"/>
  <c r="M1885" i="1"/>
  <c r="O1884" i="1"/>
  <c r="O1884" i="1" a="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c r="O1877" i="1" a="1"/>
  <c r="N1877" i="1"/>
  <c r="M1877" i="1"/>
  <c r="O1876" i="1" a="1"/>
  <c r="O1876" i="1" s="1"/>
  <c r="N1876" i="1"/>
  <c r="M1876" i="1"/>
  <c r="O1875" i="1" a="1"/>
  <c r="O1875" i="1" s="1"/>
  <c r="N1875" i="1"/>
  <c r="M1875" i="1"/>
  <c r="O1874" i="1"/>
  <c r="O1874" i="1" a="1"/>
  <c r="N1874" i="1"/>
  <c r="M1874" i="1"/>
  <c r="O1873" i="1"/>
  <c r="O1873" i="1" a="1"/>
  <c r="N1873" i="1"/>
  <c r="M1873" i="1"/>
  <c r="O1872" i="1" a="1"/>
  <c r="O1872" i="1" s="1"/>
  <c r="N1872" i="1"/>
  <c r="M1872" i="1"/>
  <c r="O1871" i="1" a="1"/>
  <c r="O1871" i="1" s="1"/>
  <c r="N1871" i="1"/>
  <c r="M1871" i="1"/>
  <c r="O1870" i="1" a="1"/>
  <c r="O1870" i="1" s="1"/>
  <c r="N1870" i="1"/>
  <c r="M1870" i="1"/>
  <c r="O1869" i="1" a="1"/>
  <c r="O1869" i="1" s="1"/>
  <c r="N1869" i="1"/>
  <c r="M1869" i="1"/>
  <c r="O1868" i="1"/>
  <c r="O1868" i="1" a="1"/>
  <c r="N1868" i="1"/>
  <c r="M1868" i="1"/>
  <c r="O1867" i="1" a="1"/>
  <c r="O1867" i="1" s="1"/>
  <c r="N1867" i="1"/>
  <c r="M1867" i="1"/>
  <c r="O1866" i="1" a="1"/>
  <c r="O1866" i="1" s="1"/>
  <c r="N1866" i="1"/>
  <c r="M1866" i="1"/>
  <c r="O1865" i="1" a="1"/>
  <c r="O1865" i="1" s="1"/>
  <c r="N1865" i="1"/>
  <c r="M1865" i="1"/>
  <c r="O1864" i="1"/>
  <c r="O1864" i="1" a="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c r="O1854" i="1" a="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c r="O1845" i="1" a="1"/>
  <c r="N1845" i="1"/>
  <c r="M1845" i="1"/>
  <c r="O1844" i="1" a="1"/>
  <c r="O1844" i="1" s="1"/>
  <c r="N1844" i="1"/>
  <c r="M1844" i="1"/>
  <c r="O1843" i="1" a="1"/>
  <c r="O1843" i="1" s="1"/>
  <c r="N1843" i="1"/>
  <c r="M1843" i="1"/>
  <c r="O1842" i="1"/>
  <c r="O1842" i="1" a="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c r="O1836" i="1" a="1"/>
  <c r="N1836" i="1"/>
  <c r="M1836" i="1"/>
  <c r="O1835" i="1"/>
  <c r="O1835" i="1" a="1"/>
  <c r="N1835" i="1"/>
  <c r="M1835" i="1"/>
  <c r="O1834" i="1" a="1"/>
  <c r="O1834" i="1" s="1"/>
  <c r="N1834" i="1"/>
  <c r="M1834" i="1"/>
  <c r="O1833" i="1"/>
  <c r="O1833" i="1" a="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c r="O1825" i="1" a="1"/>
  <c r="N1825" i="1"/>
  <c r="M1825" i="1"/>
  <c r="O1824" i="1" a="1"/>
  <c r="O1824" i="1" s="1"/>
  <c r="N1824" i="1"/>
  <c r="M1824" i="1"/>
  <c r="O1823" i="1" a="1"/>
  <c r="O1823" i="1" s="1"/>
  <c r="N1823" i="1"/>
  <c r="M1823" i="1"/>
  <c r="O1822" i="1" a="1"/>
  <c r="O1822" i="1" s="1"/>
  <c r="N1822" i="1"/>
  <c r="M1822" i="1"/>
  <c r="O1821" i="1"/>
  <c r="O1821" i="1" a="1"/>
  <c r="N1821" i="1"/>
  <c r="M1821" i="1"/>
  <c r="O1820" i="1" a="1"/>
  <c r="O1820" i="1" s="1"/>
  <c r="N1820" i="1"/>
  <c r="M1820" i="1"/>
  <c r="O1819" i="1" a="1"/>
  <c r="O1819" i="1" s="1"/>
  <c r="N1819" i="1"/>
  <c r="M1819" i="1"/>
  <c r="O1818" i="1"/>
  <c r="O1818" i="1" a="1"/>
  <c r="N1818" i="1"/>
  <c r="M1818" i="1"/>
  <c r="O1817" i="1"/>
  <c r="O1817" i="1" a="1"/>
  <c r="N1817" i="1"/>
  <c r="M1817" i="1"/>
  <c r="O1816" i="1"/>
  <c r="O1816" i="1" a="1"/>
  <c r="N1816" i="1"/>
  <c r="M1816" i="1"/>
  <c r="O1815" i="1"/>
  <c r="O1815" i="1" a="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c r="O1809" i="1" a="1"/>
  <c r="N1809" i="1"/>
  <c r="M1809" i="1"/>
  <c r="O1808" i="1" a="1"/>
  <c r="O1808" i="1" s="1"/>
  <c r="N1808" i="1"/>
  <c r="M1808" i="1"/>
  <c r="O1807" i="1" a="1"/>
  <c r="O1807" i="1" s="1"/>
  <c r="N1807" i="1"/>
  <c r="M1807" i="1"/>
  <c r="O1806" i="1"/>
  <c r="O1806" i="1" a="1"/>
  <c r="N1806" i="1"/>
  <c r="M1806" i="1"/>
  <c r="O1805" i="1" a="1"/>
  <c r="O1805" i="1" s="1"/>
  <c r="N1805" i="1"/>
  <c r="M1805" i="1"/>
  <c r="O1804" i="1"/>
  <c r="O1804" i="1" a="1"/>
  <c r="N1804" i="1"/>
  <c r="M1804" i="1"/>
  <c r="O1803" i="1"/>
  <c r="O1803" i="1" a="1"/>
  <c r="N1803" i="1"/>
  <c r="M1803" i="1"/>
  <c r="O1802" i="1" a="1"/>
  <c r="O1802" i="1" s="1"/>
  <c r="N1802" i="1"/>
  <c r="M1802" i="1"/>
  <c r="O1801" i="1"/>
  <c r="O1801" i="1" a="1"/>
  <c r="N1801" i="1"/>
  <c r="M1801" i="1"/>
  <c r="O1800" i="1" a="1"/>
  <c r="O1800" i="1" s="1"/>
  <c r="N1800" i="1"/>
  <c r="M1800" i="1"/>
  <c r="O1799" i="1"/>
  <c r="O1799" i="1" a="1"/>
  <c r="N1799" i="1"/>
  <c r="M1799" i="1"/>
  <c r="O1798" i="1" a="1"/>
  <c r="O1798" i="1" s="1"/>
  <c r="N1798" i="1"/>
  <c r="M1798" i="1"/>
  <c r="O1797" i="1"/>
  <c r="O1797" i="1" a="1"/>
  <c r="N1797" i="1"/>
  <c r="M1797" i="1"/>
  <c r="O1796" i="1"/>
  <c r="O1796" i="1" a="1"/>
  <c r="N1796" i="1"/>
  <c r="M1796" i="1"/>
  <c r="O1795" i="1"/>
  <c r="O1795" i="1" a="1"/>
  <c r="N1795" i="1"/>
  <c r="M1795" i="1"/>
  <c r="O1794" i="1" a="1"/>
  <c r="O1794" i="1" s="1"/>
  <c r="N1794" i="1"/>
  <c r="M1794" i="1"/>
  <c r="O1793" i="1"/>
  <c r="O1793" i="1" a="1"/>
  <c r="N1793" i="1"/>
  <c r="M1793" i="1"/>
  <c r="O1792" i="1"/>
  <c r="O1792" i="1" a="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c r="O1783" i="1" a="1"/>
  <c r="N1783" i="1"/>
  <c r="M1783" i="1"/>
  <c r="O1782" i="1" a="1"/>
  <c r="O1782" i="1" s="1"/>
  <c r="N1782" i="1"/>
  <c r="M1782" i="1"/>
  <c r="O1781" i="1" a="1"/>
  <c r="O1781" i="1" s="1"/>
  <c r="N1781" i="1"/>
  <c r="M1781" i="1"/>
  <c r="O1780" i="1" a="1"/>
  <c r="O1780" i="1" s="1"/>
  <c r="N1780" i="1"/>
  <c r="M1780" i="1"/>
  <c r="O1779" i="1" a="1"/>
  <c r="O1779" i="1" s="1"/>
  <c r="N1779" i="1"/>
  <c r="M1779" i="1"/>
  <c r="O1778" i="1"/>
  <c r="O1778" i="1" a="1"/>
  <c r="N1778" i="1"/>
  <c r="M1778" i="1"/>
  <c r="O1777" i="1" a="1"/>
  <c r="O1777" i="1" s="1"/>
  <c r="N1777" i="1"/>
  <c r="M1777" i="1"/>
  <c r="O1776" i="1" a="1"/>
  <c r="O1776" i="1" s="1"/>
  <c r="N1776" i="1"/>
  <c r="M1776" i="1"/>
  <c r="O1775" i="1" a="1"/>
  <c r="O1775" i="1" s="1"/>
  <c r="N1775" i="1"/>
  <c r="M1775" i="1"/>
  <c r="O1774" i="1"/>
  <c r="O1774" i="1" a="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c r="O1768" i="1" a="1"/>
  <c r="N1768" i="1"/>
  <c r="M1768" i="1"/>
  <c r="O1767" i="1"/>
  <c r="O1767" i="1" a="1"/>
  <c r="N1767" i="1"/>
  <c r="M1767" i="1"/>
  <c r="O1766" i="1" a="1"/>
  <c r="O1766" i="1" s="1"/>
  <c r="N1766" i="1"/>
  <c r="M1766" i="1"/>
  <c r="O1765" i="1"/>
  <c r="O1765" i="1" a="1"/>
  <c r="N1765" i="1"/>
  <c r="M1765" i="1"/>
  <c r="O1764" i="1"/>
  <c r="O1764" i="1" a="1"/>
  <c r="N1764" i="1"/>
  <c r="M1764" i="1"/>
  <c r="O1763" i="1" a="1"/>
  <c r="O1763" i="1" s="1"/>
  <c r="N1763" i="1"/>
  <c r="M1763" i="1"/>
  <c r="O1762" i="1" a="1"/>
  <c r="O1762" i="1" s="1"/>
  <c r="N1762" i="1"/>
  <c r="M1762" i="1"/>
  <c r="O1761" i="1" a="1"/>
  <c r="O1761" i="1" s="1"/>
  <c r="N1761" i="1"/>
  <c r="M1761" i="1"/>
  <c r="O1760" i="1"/>
  <c r="O1760" i="1" a="1"/>
  <c r="N1760" i="1"/>
  <c r="M1760" i="1"/>
  <c r="O1759" i="1" a="1"/>
  <c r="O1759" i="1" s="1"/>
  <c r="N1759" i="1"/>
  <c r="M1759" i="1"/>
  <c r="O1758" i="1" a="1"/>
  <c r="O1758" i="1" s="1"/>
  <c r="N1758" i="1"/>
  <c r="M1758" i="1"/>
  <c r="O1757" i="1"/>
  <c r="O1757" i="1" a="1"/>
  <c r="N1757" i="1"/>
  <c r="M1757" i="1"/>
  <c r="O1756" i="1" a="1"/>
  <c r="O1756" i="1" s="1"/>
  <c r="N1756" i="1"/>
  <c r="M1756" i="1"/>
  <c r="O1755" i="1"/>
  <c r="O1755" i="1" a="1"/>
  <c r="N1755" i="1"/>
  <c r="M1755" i="1"/>
  <c r="O1754" i="1"/>
  <c r="O1754" i="1" a="1"/>
  <c r="N1754" i="1"/>
  <c r="M1754" i="1"/>
  <c r="O1753" i="1" a="1"/>
  <c r="O1753" i="1" s="1"/>
  <c r="N1753" i="1"/>
  <c r="M1753" i="1"/>
  <c r="O1752" i="1" a="1"/>
  <c r="O1752" i="1" s="1"/>
  <c r="N1752" i="1"/>
  <c r="M1752" i="1"/>
  <c r="O1751" i="1"/>
  <c r="O1751" i="1" a="1"/>
  <c r="N1751" i="1"/>
  <c r="M1751" i="1"/>
  <c r="O1750" i="1"/>
  <c r="O1750" i="1" a="1"/>
  <c r="N1750" i="1"/>
  <c r="M1750" i="1"/>
  <c r="O1749" i="1" a="1"/>
  <c r="O1749" i="1" s="1"/>
  <c r="N1749" i="1"/>
  <c r="M1749" i="1"/>
  <c r="O1748" i="1" a="1"/>
  <c r="O1748" i="1" s="1"/>
  <c r="N1748" i="1"/>
  <c r="M1748" i="1"/>
  <c r="O1747" i="1"/>
  <c r="O1747" i="1" a="1"/>
  <c r="N1747" i="1"/>
  <c r="M1747" i="1"/>
  <c r="O1746" i="1"/>
  <c r="O1746" i="1" a="1"/>
  <c r="N1746" i="1"/>
  <c r="M1746" i="1"/>
  <c r="O1745" i="1"/>
  <c r="O1745" i="1" a="1"/>
  <c r="N1745" i="1"/>
  <c r="M1745" i="1"/>
  <c r="O1744" i="1"/>
  <c r="O1744" i="1" a="1"/>
  <c r="N1744" i="1"/>
  <c r="M1744" i="1"/>
  <c r="O1743" i="1"/>
  <c r="O1743" i="1" a="1"/>
  <c r="N1743" i="1"/>
  <c r="M1743" i="1"/>
  <c r="O1742" i="1" a="1"/>
  <c r="O1742" i="1" s="1"/>
  <c r="N1742" i="1"/>
  <c r="M1742" i="1"/>
  <c r="O1741" i="1" a="1"/>
  <c r="O1741" i="1" s="1"/>
  <c r="N1741" i="1"/>
  <c r="M1741" i="1"/>
  <c r="O1740" i="1" a="1"/>
  <c r="O1740" i="1" s="1"/>
  <c r="N1740" i="1"/>
  <c r="M1740" i="1"/>
  <c r="O1739" i="1"/>
  <c r="O1739" i="1" a="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c r="O1729" i="1" a="1"/>
  <c r="N1729" i="1"/>
  <c r="M1729" i="1"/>
  <c r="O1728" i="1" a="1"/>
  <c r="O1728" i="1" s="1"/>
  <c r="N1728" i="1"/>
  <c r="M1728" i="1"/>
  <c r="O1727" i="1" a="1"/>
  <c r="O1727" i="1" s="1"/>
  <c r="N1727" i="1"/>
  <c r="M1727" i="1"/>
  <c r="O1726" i="1"/>
  <c r="O1726" i="1" a="1"/>
  <c r="N1726" i="1"/>
  <c r="M1726" i="1"/>
  <c r="O1725" i="1"/>
  <c r="O1725" i="1" a="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c r="O1718" i="1" a="1"/>
  <c r="N1718" i="1"/>
  <c r="M1718" i="1"/>
  <c r="O1717" i="1"/>
  <c r="O1717" i="1" a="1"/>
  <c r="N1717" i="1"/>
  <c r="M1717" i="1"/>
  <c r="O1716" i="1"/>
  <c r="O1716" i="1" a="1"/>
  <c r="N1716" i="1"/>
  <c r="M1716" i="1"/>
  <c r="O1715" i="1"/>
  <c r="O1715" i="1" a="1"/>
  <c r="N1715" i="1"/>
  <c r="M1715" i="1"/>
  <c r="O1714" i="1" a="1"/>
  <c r="O1714" i="1" s="1"/>
  <c r="N1714" i="1"/>
  <c r="M1714" i="1"/>
  <c r="O1713" i="1"/>
  <c r="O1713" i="1" a="1"/>
  <c r="N1713" i="1"/>
  <c r="M1713" i="1"/>
  <c r="O1712" i="1" a="1"/>
  <c r="O1712" i="1" s="1"/>
  <c r="N1712" i="1"/>
  <c r="M1712" i="1"/>
  <c r="O1711" i="1" a="1"/>
  <c r="O1711" i="1" s="1"/>
  <c r="N1711" i="1"/>
  <c r="M1711" i="1"/>
  <c r="O1710" i="1" a="1"/>
  <c r="O1710" i="1" s="1"/>
  <c r="N1710" i="1"/>
  <c r="M1710" i="1"/>
  <c r="O1709" i="1"/>
  <c r="O1709" i="1" a="1"/>
  <c r="N1709" i="1"/>
  <c r="M1709" i="1"/>
  <c r="O1708" i="1"/>
  <c r="O1708" i="1" a="1"/>
  <c r="N1708" i="1"/>
  <c r="M1708" i="1"/>
  <c r="O1707" i="1" a="1"/>
  <c r="O1707" i="1" s="1"/>
  <c r="N1707" i="1"/>
  <c r="M1707" i="1"/>
  <c r="O1706" i="1"/>
  <c r="O1706" i="1" a="1"/>
  <c r="N1706" i="1"/>
  <c r="M1706" i="1"/>
  <c r="O1705" i="1" a="1"/>
  <c r="O1705" i="1" s="1"/>
  <c r="N1705" i="1"/>
  <c r="M1705" i="1"/>
  <c r="O1704" i="1" a="1"/>
  <c r="O1704" i="1" s="1"/>
  <c r="N1704" i="1"/>
  <c r="M1704" i="1"/>
  <c r="O1703" i="1" a="1"/>
  <c r="O1703" i="1" s="1"/>
  <c r="N1703" i="1"/>
  <c r="M1703" i="1"/>
  <c r="O1702" i="1" a="1"/>
  <c r="O1702" i="1" s="1"/>
  <c r="N1702" i="1"/>
  <c r="M1702" i="1"/>
  <c r="O1701" i="1"/>
  <c r="O1701" i="1" a="1"/>
  <c r="N1701" i="1"/>
  <c r="M1701" i="1"/>
  <c r="O1700" i="1" a="1"/>
  <c r="O1700" i="1" s="1"/>
  <c r="N1700" i="1"/>
  <c r="M1700" i="1"/>
  <c r="O1699" i="1" a="1"/>
  <c r="O1699" i="1" s="1"/>
  <c r="N1699" i="1"/>
  <c r="M1699" i="1"/>
  <c r="O1698" i="1" a="1"/>
  <c r="O1698" i="1" s="1"/>
  <c r="N1698" i="1"/>
  <c r="M1698" i="1"/>
  <c r="O1697" i="1"/>
  <c r="O1697" i="1" a="1"/>
  <c r="N1697" i="1"/>
  <c r="M1697" i="1"/>
  <c r="O1696" i="1"/>
  <c r="O1696" i="1" a="1"/>
  <c r="N1696" i="1"/>
  <c r="M1696" i="1"/>
  <c r="O1695" i="1" a="1"/>
  <c r="O1695" i="1" s="1"/>
  <c r="N1695" i="1"/>
  <c r="M1695" i="1"/>
  <c r="O1694" i="1"/>
  <c r="O1694" i="1" a="1"/>
  <c r="N1694" i="1"/>
  <c r="M1694" i="1"/>
  <c r="O1693" i="1" a="1"/>
  <c r="O1693" i="1" s="1"/>
  <c r="N1693" i="1"/>
  <c r="M1693" i="1"/>
  <c r="O1692" i="1"/>
  <c r="O1692" i="1" a="1"/>
  <c r="N1692" i="1"/>
  <c r="M1692" i="1"/>
  <c r="O1691" i="1" a="1"/>
  <c r="O1691" i="1" s="1"/>
  <c r="N1691" i="1"/>
  <c r="M1691" i="1"/>
  <c r="O1690" i="1" a="1"/>
  <c r="O1690" i="1" s="1"/>
  <c r="N1690" i="1"/>
  <c r="M1690" i="1"/>
  <c r="O1689" i="1" a="1"/>
  <c r="O1689" i="1" s="1"/>
  <c r="N1689" i="1"/>
  <c r="M1689" i="1"/>
  <c r="O1688" i="1" a="1"/>
  <c r="O1688" i="1" s="1"/>
  <c r="N1688" i="1"/>
  <c r="M1688" i="1"/>
  <c r="O1687" i="1"/>
  <c r="O1687" i="1" a="1"/>
  <c r="N1687" i="1"/>
  <c r="M1687" i="1"/>
  <c r="O1686" i="1" a="1"/>
  <c r="O1686" i="1" s="1"/>
  <c r="N1686" i="1"/>
  <c r="M1686" i="1"/>
  <c r="O1685" i="1"/>
  <c r="O1685" i="1" a="1"/>
  <c r="N1685" i="1"/>
  <c r="M1685" i="1"/>
  <c r="O1684" i="1"/>
  <c r="O1684" i="1" a="1"/>
  <c r="N1684" i="1"/>
  <c r="M1684" i="1"/>
  <c r="O1683" i="1" a="1"/>
  <c r="O1683" i="1" s="1"/>
  <c r="N1683" i="1"/>
  <c r="M1683" i="1"/>
  <c r="O1682" i="1" a="1"/>
  <c r="O1682" i="1" s="1"/>
  <c r="N1682" i="1"/>
  <c r="M1682" i="1"/>
  <c r="O1681" i="1"/>
  <c r="O1681" i="1" a="1"/>
  <c r="N1681" i="1"/>
  <c r="M1681" i="1"/>
  <c r="O1680" i="1"/>
  <c r="O1680" i="1" a="1"/>
  <c r="N1680" i="1"/>
  <c r="M1680" i="1"/>
  <c r="O1679" i="1" a="1"/>
  <c r="O1679" i="1" s="1"/>
  <c r="N1679" i="1"/>
  <c r="M1679" i="1"/>
  <c r="O1678" i="1" a="1"/>
  <c r="O1678" i="1" s="1"/>
  <c r="N1678" i="1"/>
  <c r="M1678" i="1"/>
  <c r="O1677" i="1"/>
  <c r="O1677" i="1" a="1"/>
  <c r="N1677" i="1"/>
  <c r="M1677" i="1"/>
  <c r="O1676" i="1" a="1"/>
  <c r="O1676" i="1" s="1"/>
  <c r="N1676" i="1"/>
  <c r="M1676" i="1"/>
  <c r="O1675" i="1" a="1"/>
  <c r="O1675" i="1" s="1"/>
  <c r="N1675" i="1"/>
  <c r="M1675" i="1"/>
  <c r="O1674" i="1" a="1"/>
  <c r="O1674" i="1" s="1"/>
  <c r="N1674" i="1"/>
  <c r="M1674" i="1"/>
  <c r="O1673" i="1"/>
  <c r="O1673" i="1" a="1"/>
  <c r="N1673" i="1"/>
  <c r="M1673" i="1"/>
  <c r="O1672" i="1" a="1"/>
  <c r="O1672" i="1" s="1"/>
  <c r="N1672" i="1"/>
  <c r="M1672" i="1"/>
  <c r="O1671" i="1" a="1"/>
  <c r="O1671" i="1" s="1"/>
  <c r="N1671" i="1"/>
  <c r="M1671" i="1"/>
  <c r="O1670" i="1"/>
  <c r="O1670" i="1" a="1"/>
  <c r="N1670" i="1"/>
  <c r="M1670" i="1"/>
  <c r="O1669" i="1" a="1"/>
  <c r="O1669" i="1" s="1"/>
  <c r="N1669" i="1"/>
  <c r="M1669" i="1"/>
  <c r="O1668" i="1"/>
  <c r="O1668" i="1" a="1"/>
  <c r="N1668" i="1"/>
  <c r="M1668" i="1"/>
  <c r="O1667" i="1"/>
  <c r="O1667" i="1" a="1"/>
  <c r="N1667" i="1"/>
  <c r="M1667" i="1"/>
  <c r="O1666" i="1"/>
  <c r="O1666" i="1" a="1"/>
  <c r="N1666" i="1"/>
  <c r="M1666" i="1"/>
  <c r="O1665" i="1" a="1"/>
  <c r="O1665" i="1" s="1"/>
  <c r="N1665" i="1"/>
  <c r="M1665" i="1"/>
  <c r="O1664" i="1" a="1"/>
  <c r="O1664" i="1" s="1"/>
  <c r="N1664" i="1"/>
  <c r="M1664" i="1"/>
  <c r="O1663" i="1" a="1"/>
  <c r="O1663" i="1" s="1"/>
  <c r="N1663" i="1"/>
  <c r="M1663" i="1"/>
  <c r="O1662" i="1" a="1"/>
  <c r="O1662" i="1" s="1"/>
  <c r="N1662" i="1"/>
  <c r="M1662" i="1"/>
  <c r="O1661" i="1"/>
  <c r="O1661" i="1" a="1"/>
  <c r="N1661" i="1"/>
  <c r="M1661" i="1"/>
  <c r="O1660" i="1" a="1"/>
  <c r="O1660" i="1" s="1"/>
  <c r="N1660" i="1"/>
  <c r="M1660" i="1"/>
  <c r="O1659" i="1"/>
  <c r="O1659" i="1" a="1"/>
  <c r="N1659" i="1"/>
  <c r="M1659" i="1"/>
  <c r="O1658" i="1" a="1"/>
  <c r="O1658" i="1" s="1"/>
  <c r="N1658" i="1"/>
  <c r="M1658" i="1"/>
  <c r="O1657" i="1" a="1"/>
  <c r="O1657" i="1" s="1"/>
  <c r="N1657" i="1"/>
  <c r="M1657" i="1"/>
  <c r="O1656" i="1" a="1"/>
  <c r="O1656" i="1" s="1"/>
  <c r="N1656" i="1"/>
  <c r="M1656" i="1"/>
  <c r="O1655" i="1"/>
  <c r="O1655" i="1" a="1"/>
  <c r="N1655" i="1"/>
  <c r="M1655" i="1"/>
  <c r="O1654" i="1" a="1"/>
  <c r="O1654" i="1" s="1"/>
  <c r="N1654" i="1"/>
  <c r="M1654" i="1"/>
  <c r="O1653" i="1" a="1"/>
  <c r="O1653" i="1" s="1"/>
  <c r="N1653" i="1"/>
  <c r="M1653" i="1"/>
  <c r="O1652" i="1"/>
  <c r="O1652" i="1" a="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c r="O1645" i="1" a="1"/>
  <c r="N1645" i="1"/>
  <c r="M1645" i="1"/>
  <c r="O1644" i="1" a="1"/>
  <c r="O1644" i="1" s="1"/>
  <c r="N1644" i="1"/>
  <c r="M1644" i="1"/>
  <c r="O1643" i="1" a="1"/>
  <c r="O1643" i="1" s="1"/>
  <c r="N1643" i="1"/>
  <c r="M1643" i="1"/>
  <c r="O1642" i="1"/>
  <c r="O1642" i="1" a="1"/>
  <c r="N1642" i="1"/>
  <c r="M1642" i="1"/>
  <c r="O1641" i="1" a="1"/>
  <c r="O1641" i="1" s="1"/>
  <c r="N1641" i="1"/>
  <c r="M1641" i="1"/>
  <c r="O1640" i="1" a="1"/>
  <c r="O1640" i="1" s="1"/>
  <c r="N1640" i="1"/>
  <c r="M1640" i="1"/>
  <c r="O1639" i="1"/>
  <c r="O1639" i="1" a="1"/>
  <c r="N1639" i="1"/>
  <c r="M1639" i="1"/>
  <c r="O1638" i="1"/>
  <c r="O1638" i="1" a="1"/>
  <c r="N1638" i="1"/>
  <c r="M1638" i="1"/>
  <c r="O1637" i="1" a="1"/>
  <c r="O1637" i="1" s="1"/>
  <c r="N1637" i="1"/>
  <c r="M1637" i="1"/>
  <c r="O1636" i="1"/>
  <c r="O1636" i="1" a="1"/>
  <c r="N1636" i="1"/>
  <c r="M1636" i="1"/>
  <c r="O1635" i="1" a="1"/>
  <c r="O1635" i="1" s="1"/>
  <c r="N1635" i="1"/>
  <c r="M1635" i="1"/>
  <c r="O1634" i="1" a="1"/>
  <c r="O1634" i="1" s="1"/>
  <c r="N1634" i="1"/>
  <c r="M1634" i="1"/>
  <c r="O1633" i="1"/>
  <c r="O1633" i="1" a="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c r="O1627" i="1" a="1"/>
  <c r="N1627" i="1"/>
  <c r="M1627" i="1"/>
  <c r="O1626" i="1"/>
  <c r="O1626" i="1" a="1"/>
  <c r="N1626" i="1"/>
  <c r="M1626" i="1"/>
  <c r="O1625" i="1" a="1"/>
  <c r="O1625" i="1" s="1"/>
  <c r="N1625" i="1"/>
  <c r="M1625" i="1"/>
  <c r="O1624" i="1"/>
  <c r="O1624" i="1" a="1"/>
  <c r="N1624" i="1"/>
  <c r="M1624" i="1"/>
  <c r="O1623" i="1" a="1"/>
  <c r="O1623" i="1" s="1"/>
  <c r="N1623" i="1"/>
  <c r="M1623" i="1"/>
  <c r="O1622" i="1" a="1"/>
  <c r="O1622" i="1" s="1"/>
  <c r="N1622" i="1"/>
  <c r="M1622" i="1"/>
  <c r="O1621" i="1" a="1"/>
  <c r="O1621" i="1" s="1"/>
  <c r="N1621" i="1"/>
  <c r="M1621" i="1"/>
  <c r="O1620" i="1"/>
  <c r="O1620" i="1" a="1"/>
  <c r="N1620" i="1"/>
  <c r="M1620" i="1"/>
  <c r="O1619" i="1" a="1"/>
  <c r="O1619" i="1" s="1"/>
  <c r="N1619" i="1"/>
  <c r="M1619" i="1"/>
  <c r="O1618" i="1" a="1"/>
  <c r="O1618" i="1" s="1"/>
  <c r="N1618" i="1"/>
  <c r="M1618" i="1"/>
  <c r="O1617" i="1"/>
  <c r="O1617" i="1" a="1"/>
  <c r="N1617" i="1"/>
  <c r="M1617" i="1"/>
  <c r="O1616" i="1" a="1"/>
  <c r="O1616" i="1" s="1"/>
  <c r="N1616" i="1"/>
  <c r="M1616" i="1"/>
  <c r="O1615" i="1" a="1"/>
  <c r="O1615" i="1" s="1"/>
  <c r="N1615" i="1"/>
  <c r="M1615" i="1"/>
  <c r="O1614" i="1" a="1"/>
  <c r="O1614" i="1" s="1"/>
  <c r="N1614" i="1"/>
  <c r="M1614" i="1"/>
  <c r="O1613" i="1"/>
  <c r="O1613" i="1" a="1"/>
  <c r="N1613" i="1"/>
  <c r="M1613" i="1"/>
  <c r="O1612" i="1"/>
  <c r="O1612" i="1" a="1"/>
  <c r="N1612" i="1"/>
  <c r="M1612" i="1"/>
  <c r="O1611" i="1" a="1"/>
  <c r="O1611" i="1" s="1"/>
  <c r="N1611" i="1"/>
  <c r="M1611" i="1"/>
  <c r="O1610" i="1"/>
  <c r="O1610" i="1" a="1"/>
  <c r="N1610" i="1"/>
  <c r="M1610" i="1"/>
  <c r="O1609" i="1" a="1"/>
  <c r="O1609" i="1" s="1"/>
  <c r="N1609" i="1"/>
  <c r="M1609" i="1"/>
  <c r="O1608" i="1"/>
  <c r="O1608" i="1" a="1"/>
  <c r="N1608" i="1"/>
  <c r="M1608" i="1"/>
  <c r="O1607" i="1"/>
  <c r="O1607" i="1" a="1"/>
  <c r="N1607" i="1"/>
  <c r="M1607" i="1"/>
  <c r="O1606" i="1" a="1"/>
  <c r="O1606" i="1" s="1"/>
  <c r="N1606" i="1"/>
  <c r="M1606" i="1"/>
  <c r="O1605" i="1" a="1"/>
  <c r="O1605" i="1" s="1"/>
  <c r="N1605" i="1"/>
  <c r="M1605" i="1"/>
  <c r="O1604" i="1"/>
  <c r="O1604" i="1" a="1"/>
  <c r="N1604" i="1"/>
  <c r="M1604" i="1"/>
  <c r="O1603" i="1"/>
  <c r="O1603" i="1" a="1"/>
  <c r="N1603" i="1"/>
  <c r="M1603" i="1"/>
  <c r="O1602" i="1" a="1"/>
  <c r="O1602" i="1" s="1"/>
  <c r="N1602" i="1"/>
  <c r="M1602" i="1"/>
  <c r="O1601" i="1"/>
  <c r="O1601" i="1" a="1"/>
  <c r="N1601" i="1"/>
  <c r="M1601" i="1"/>
  <c r="O1600" i="1" a="1"/>
  <c r="O1600" i="1" s="1"/>
  <c r="N1600" i="1"/>
  <c r="M1600" i="1"/>
  <c r="O1599" i="1"/>
  <c r="O1599" i="1" a="1"/>
  <c r="N1599" i="1"/>
  <c r="M1599" i="1"/>
  <c r="O1598" i="1"/>
  <c r="O1598" i="1" a="1"/>
  <c r="N1598" i="1"/>
  <c r="M1598" i="1"/>
  <c r="O1597" i="1"/>
  <c r="O1597" i="1" a="1"/>
  <c r="N1597" i="1"/>
  <c r="M1597" i="1"/>
  <c r="O1596" i="1"/>
  <c r="O1596" i="1" a="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c r="O1589" i="1" a="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c r="O1578" i="1" a="1"/>
  <c r="N1578" i="1"/>
  <c r="M1578" i="1"/>
  <c r="O1577" i="1" a="1"/>
  <c r="O1577" i="1" s="1"/>
  <c r="N1577" i="1"/>
  <c r="M1577" i="1"/>
  <c r="O1576" i="1" a="1"/>
  <c r="O1576" i="1" s="1"/>
  <c r="N1576" i="1"/>
  <c r="M1576" i="1"/>
  <c r="O1575" i="1"/>
  <c r="O1575" i="1" a="1"/>
  <c r="N1575" i="1"/>
  <c r="M1575" i="1"/>
  <c r="O1574" i="1" a="1"/>
  <c r="O1574" i="1" s="1"/>
  <c r="N1574" i="1"/>
  <c r="M1574" i="1"/>
  <c r="O1573" i="1" a="1"/>
  <c r="O1573" i="1" s="1"/>
  <c r="N1573" i="1"/>
  <c r="M1573" i="1"/>
  <c r="O1572" i="1" a="1"/>
  <c r="O1572" i="1" s="1"/>
  <c r="N1572" i="1"/>
  <c r="M1572" i="1"/>
  <c r="O1571" i="1"/>
  <c r="O1571" i="1" a="1"/>
  <c r="N1571" i="1"/>
  <c r="M1571" i="1"/>
  <c r="O1570" i="1" a="1"/>
  <c r="O1570" i="1" s="1"/>
  <c r="N1570" i="1"/>
  <c r="M1570" i="1"/>
  <c r="O1569" i="1" a="1"/>
  <c r="O1569" i="1" s="1"/>
  <c r="N1569" i="1"/>
  <c r="M1569" i="1"/>
  <c r="O1568" i="1"/>
  <c r="O1568" i="1" a="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c r="O1561" i="1" a="1"/>
  <c r="N1561" i="1"/>
  <c r="M1561" i="1"/>
  <c r="O1560" i="1" a="1"/>
  <c r="O1560" i="1" s="1"/>
  <c r="N1560" i="1"/>
  <c r="M1560" i="1"/>
  <c r="O1559" i="1"/>
  <c r="O1559" i="1" a="1"/>
  <c r="N1559" i="1"/>
  <c r="M1559" i="1"/>
  <c r="O1558" i="1"/>
  <c r="O1558" i="1" a="1"/>
  <c r="N1558" i="1"/>
  <c r="M1558" i="1"/>
  <c r="O1557" i="1"/>
  <c r="O1557" i="1" a="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c r="O1549" i="1" a="1"/>
  <c r="N1549" i="1"/>
  <c r="M1549" i="1"/>
  <c r="O1548" i="1"/>
  <c r="O1548" i="1" a="1"/>
  <c r="N1548" i="1"/>
  <c r="M1548" i="1"/>
  <c r="O1547" i="1"/>
  <c r="O1547" i="1" a="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c r="O1540" i="1" a="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c r="O1533" i="1" a="1"/>
  <c r="N1533" i="1"/>
  <c r="M1533" i="1"/>
  <c r="O1532" i="1" a="1"/>
  <c r="O1532" i="1" s="1"/>
  <c r="N1532" i="1"/>
  <c r="M1532" i="1"/>
  <c r="O1531" i="1" a="1"/>
  <c r="O1531" i="1" s="1"/>
  <c r="N1531" i="1"/>
  <c r="M1531" i="1"/>
  <c r="O1530" i="1"/>
  <c r="O1530" i="1" a="1"/>
  <c r="N1530" i="1"/>
  <c r="M1530" i="1"/>
  <c r="O1529" i="1"/>
  <c r="O1529" i="1" a="1"/>
  <c r="N1529" i="1"/>
  <c r="M1529" i="1"/>
  <c r="O1528" i="1" a="1"/>
  <c r="O1528" i="1" s="1"/>
  <c r="N1528" i="1"/>
  <c r="M1528" i="1"/>
  <c r="O1527" i="1" a="1"/>
  <c r="O1527" i="1" s="1"/>
  <c r="N1527" i="1"/>
  <c r="M1527" i="1"/>
  <c r="O1526" i="1"/>
  <c r="O1526" i="1" a="1"/>
  <c r="N1526" i="1"/>
  <c r="M1526" i="1"/>
  <c r="O1525" i="1" a="1"/>
  <c r="O1525" i="1" s="1"/>
  <c r="N1525" i="1"/>
  <c r="M1525" i="1"/>
  <c r="O1524" i="1"/>
  <c r="O1524" i="1" a="1"/>
  <c r="N1524" i="1"/>
  <c r="M1524" i="1"/>
  <c r="O1523" i="1"/>
  <c r="O1523" i="1" a="1"/>
  <c r="N1523" i="1"/>
  <c r="M1523" i="1"/>
  <c r="O1522" i="1" a="1"/>
  <c r="O1522" i="1" s="1"/>
  <c r="N1522" i="1"/>
  <c r="M1522" i="1"/>
  <c r="O1521" i="1" a="1"/>
  <c r="O1521" i="1" s="1"/>
  <c r="N1521" i="1"/>
  <c r="M1521" i="1"/>
  <c r="O1520" i="1"/>
  <c r="O1520" i="1" a="1"/>
  <c r="N1520" i="1"/>
  <c r="M1520" i="1"/>
  <c r="O1519" i="1"/>
  <c r="O1519" i="1" a="1"/>
  <c r="N1519" i="1"/>
  <c r="M1519" i="1"/>
  <c r="O1518" i="1" a="1"/>
  <c r="O1518" i="1" s="1"/>
  <c r="N1518" i="1"/>
  <c r="M1518" i="1"/>
  <c r="O1517" i="1"/>
  <c r="O1517" i="1" a="1"/>
  <c r="N1517" i="1"/>
  <c r="M1517" i="1"/>
  <c r="O1516" i="1" a="1"/>
  <c r="O1516" i="1" s="1"/>
  <c r="N1516" i="1"/>
  <c r="M1516" i="1"/>
  <c r="O1515" i="1" a="1"/>
  <c r="O1515" i="1" s="1"/>
  <c r="N1515" i="1"/>
  <c r="M1515" i="1"/>
  <c r="O1514" i="1" a="1"/>
  <c r="O1514" i="1" s="1"/>
  <c r="N1514" i="1"/>
  <c r="M1514" i="1"/>
  <c r="O1513" i="1"/>
  <c r="O1513" i="1" a="1"/>
  <c r="N1513" i="1"/>
  <c r="M1513" i="1"/>
  <c r="O1512" i="1"/>
  <c r="O1512" i="1" a="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c r="O1505" i="1" a="1"/>
  <c r="N1505" i="1"/>
  <c r="M1505" i="1"/>
  <c r="O1504" i="1" a="1"/>
  <c r="O1504" i="1" s="1"/>
  <c r="N1504" i="1"/>
  <c r="M1504" i="1"/>
  <c r="O1503" i="1" a="1"/>
  <c r="O1503" i="1" s="1"/>
  <c r="N1503" i="1"/>
  <c r="M1503" i="1"/>
  <c r="O1502" i="1" a="1"/>
  <c r="O1502" i="1" s="1"/>
  <c r="N1502" i="1"/>
  <c r="M1502" i="1"/>
  <c r="O1501" i="1"/>
  <c r="O1501" i="1" a="1"/>
  <c r="N1501" i="1"/>
  <c r="M1501" i="1"/>
  <c r="O1500" i="1"/>
  <c r="O1500" i="1" a="1"/>
  <c r="N1500" i="1"/>
  <c r="M1500" i="1"/>
  <c r="O1499" i="1" a="1"/>
  <c r="O1499" i="1" s="1"/>
  <c r="N1499" i="1"/>
  <c r="M1499" i="1"/>
  <c r="O1498" i="1"/>
  <c r="O1498" i="1" a="1"/>
  <c r="N1498" i="1"/>
  <c r="M1498" i="1"/>
  <c r="O1497" i="1" a="1"/>
  <c r="O1497" i="1" s="1"/>
  <c r="N1497" i="1"/>
  <c r="M1497" i="1"/>
  <c r="O1496" i="1" a="1"/>
  <c r="O1496" i="1" s="1"/>
  <c r="N1496" i="1"/>
  <c r="M1496" i="1"/>
  <c r="O1495" i="1"/>
  <c r="O1495" i="1" a="1"/>
  <c r="N1495" i="1"/>
  <c r="M1495" i="1"/>
  <c r="O1494" i="1" a="1"/>
  <c r="O1494" i="1" s="1"/>
  <c r="N1494" i="1"/>
  <c r="M1494" i="1"/>
  <c r="O1493" i="1" a="1"/>
  <c r="O1493" i="1" s="1"/>
  <c r="N1493" i="1"/>
  <c r="M1493" i="1"/>
  <c r="O1492" i="1" a="1"/>
  <c r="O1492" i="1" s="1"/>
  <c r="N1492" i="1"/>
  <c r="M1492" i="1"/>
  <c r="O1491" i="1"/>
  <c r="O1491" i="1" a="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c r="O1485" i="1" a="1"/>
  <c r="N1485" i="1"/>
  <c r="M1485" i="1"/>
  <c r="O1484" i="1"/>
  <c r="O1484" i="1" a="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c r="O1477" i="1" a="1"/>
  <c r="N1477" i="1"/>
  <c r="M1477" i="1"/>
  <c r="O1476" i="1" a="1"/>
  <c r="O1476" i="1" s="1"/>
  <c r="N1476" i="1"/>
  <c r="M1476" i="1"/>
  <c r="O1475" i="1" a="1"/>
  <c r="O1475" i="1" s="1"/>
  <c r="N1475" i="1"/>
  <c r="M1475" i="1"/>
  <c r="O1474" i="1" a="1"/>
  <c r="O1474" i="1" s="1"/>
  <c r="N1474" i="1"/>
  <c r="M1474" i="1"/>
  <c r="O1473" i="1" a="1"/>
  <c r="O1473" i="1" s="1"/>
  <c r="N1473" i="1"/>
  <c r="M1473" i="1"/>
  <c r="O1472" i="1"/>
  <c r="O1472" i="1" a="1"/>
  <c r="N1472" i="1"/>
  <c r="M1472" i="1"/>
  <c r="O1471" i="1"/>
  <c r="O1471" i="1" a="1"/>
  <c r="N1471" i="1"/>
  <c r="M1471" i="1"/>
  <c r="O1470" i="1"/>
  <c r="O1470" i="1" a="1"/>
  <c r="N1470" i="1"/>
  <c r="M1470" i="1"/>
  <c r="O1469" i="1" a="1"/>
  <c r="O1469" i="1" s="1"/>
  <c r="N1469" i="1"/>
  <c r="M1469" i="1"/>
  <c r="O1468" i="1" a="1"/>
  <c r="O1468" i="1" s="1"/>
  <c r="N1468" i="1"/>
  <c r="M1468" i="1"/>
  <c r="O1467" i="1" a="1"/>
  <c r="O1467" i="1" s="1"/>
  <c r="N1467" i="1"/>
  <c r="M1467" i="1"/>
  <c r="O1466" i="1"/>
  <c r="O1466" i="1" a="1"/>
  <c r="N1466" i="1"/>
  <c r="M1466" i="1"/>
  <c r="O1465" i="1" a="1"/>
  <c r="O1465" i="1" s="1"/>
  <c r="N1465" i="1"/>
  <c r="M1465" i="1"/>
  <c r="O1464" i="1" a="1"/>
  <c r="O1464" i="1" s="1"/>
  <c r="N1464" i="1"/>
  <c r="M1464" i="1"/>
  <c r="O1463" i="1"/>
  <c r="O1463" i="1" a="1"/>
  <c r="N1463" i="1"/>
  <c r="M1463" i="1"/>
  <c r="O1462" i="1" a="1"/>
  <c r="O1462" i="1" s="1"/>
  <c r="N1462" i="1"/>
  <c r="M1462" i="1"/>
  <c r="O1461" i="1" a="1"/>
  <c r="O1461" i="1" s="1"/>
  <c r="N1461" i="1"/>
  <c r="M1461" i="1"/>
  <c r="O1460" i="1"/>
  <c r="O1460" i="1" a="1"/>
  <c r="N1460" i="1"/>
  <c r="M1460" i="1"/>
  <c r="O1459" i="1"/>
  <c r="O1459" i="1" a="1"/>
  <c r="N1459" i="1"/>
  <c r="M1459" i="1"/>
  <c r="O1458" i="1" a="1"/>
  <c r="O1458" i="1" s="1"/>
  <c r="N1458" i="1"/>
  <c r="M1458" i="1"/>
  <c r="O1457" i="1" a="1"/>
  <c r="O1457" i="1" s="1"/>
  <c r="N1457" i="1"/>
  <c r="M1457" i="1"/>
  <c r="O1456" i="1"/>
  <c r="O1456" i="1" a="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c r="O1449" i="1" a="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c r="O1442" i="1" a="1"/>
  <c r="N1442" i="1"/>
  <c r="M1442" i="1"/>
  <c r="O1441" i="1" a="1"/>
  <c r="O1441" i="1" s="1"/>
  <c r="N1441" i="1"/>
  <c r="M1441" i="1"/>
  <c r="O1440" i="1"/>
  <c r="O1440" i="1" a="1"/>
  <c r="N1440" i="1"/>
  <c r="M1440" i="1"/>
  <c r="O1439" i="1" a="1"/>
  <c r="O1439" i="1" s="1"/>
  <c r="N1439" i="1"/>
  <c r="M1439" i="1"/>
  <c r="O1438" i="1" a="1"/>
  <c r="O1438" i="1" s="1"/>
  <c r="N1438" i="1"/>
  <c r="M1438" i="1"/>
  <c r="O1437" i="1"/>
  <c r="O1437" i="1" a="1"/>
  <c r="N1437" i="1"/>
  <c r="M1437" i="1"/>
  <c r="O1436" i="1" a="1"/>
  <c r="O1436" i="1" s="1"/>
  <c r="N1436" i="1"/>
  <c r="M1436" i="1"/>
  <c r="O1435" i="1"/>
  <c r="O1435" i="1" a="1"/>
  <c r="N1435" i="1"/>
  <c r="M1435" i="1"/>
  <c r="O1434" i="1" a="1"/>
  <c r="O1434" i="1" s="1"/>
  <c r="N1434" i="1"/>
  <c r="M1434" i="1"/>
  <c r="O1433" i="1" a="1"/>
  <c r="O1433" i="1" s="1"/>
  <c r="N1433" i="1"/>
  <c r="M1433" i="1"/>
  <c r="O1432" i="1"/>
  <c r="O1432" i="1" a="1"/>
  <c r="N1432" i="1"/>
  <c r="M1432" i="1"/>
  <c r="O1431" i="1"/>
  <c r="O1431" i="1" a="1"/>
  <c r="N1431" i="1"/>
  <c r="M1431" i="1"/>
  <c r="O1430" i="1"/>
  <c r="O1430" i="1" a="1"/>
  <c r="N1430" i="1"/>
  <c r="M1430" i="1"/>
  <c r="O1429" i="1" a="1"/>
  <c r="O1429" i="1" s="1"/>
  <c r="N1429" i="1"/>
  <c r="M1429" i="1"/>
  <c r="O1428" i="1"/>
  <c r="O1428" i="1" a="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c r="O1414" i="1" a="1"/>
  <c r="N1414" i="1"/>
  <c r="M1414" i="1"/>
  <c r="O1413" i="1" a="1"/>
  <c r="O1413" i="1" s="1"/>
  <c r="N1413" i="1"/>
  <c r="M1413" i="1"/>
  <c r="O1412" i="1"/>
  <c r="O1412" i="1" a="1"/>
  <c r="N1412" i="1"/>
  <c r="M1412" i="1"/>
  <c r="O1411" i="1"/>
  <c r="O1411" i="1" a="1"/>
  <c r="N1411" i="1"/>
  <c r="M1411" i="1"/>
  <c r="O1410" i="1" a="1"/>
  <c r="O1410" i="1" s="1"/>
  <c r="N1410" i="1"/>
  <c r="M1410" i="1"/>
  <c r="O1409" i="1"/>
  <c r="O1409" i="1" a="1"/>
  <c r="N1409" i="1"/>
  <c r="M1409" i="1"/>
  <c r="O1408" i="1"/>
  <c r="O1408" i="1" a="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c r="O1401" i="1" a="1"/>
  <c r="N1401" i="1"/>
  <c r="M1401" i="1"/>
  <c r="O1400" i="1"/>
  <c r="O1400" i="1" a="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c r="O1393" i="1" a="1"/>
  <c r="N1393" i="1"/>
  <c r="M1393" i="1"/>
  <c r="O1392" i="1" a="1"/>
  <c r="O1392" i="1" s="1"/>
  <c r="N1392" i="1"/>
  <c r="M1392" i="1"/>
  <c r="O1391" i="1"/>
  <c r="O1391" i="1" a="1"/>
  <c r="N1391" i="1"/>
  <c r="M1391" i="1"/>
  <c r="O1390" i="1"/>
  <c r="O1390" i="1" a="1"/>
  <c r="N1390" i="1"/>
  <c r="M1390" i="1"/>
  <c r="O1389" i="1" a="1"/>
  <c r="O1389" i="1" s="1"/>
  <c r="N1389" i="1"/>
  <c r="M1389" i="1"/>
  <c r="O1388" i="1"/>
  <c r="O1388" i="1" a="1"/>
  <c r="N1388" i="1"/>
  <c r="M1388" i="1"/>
  <c r="O1387" i="1"/>
  <c r="O1387" i="1" a="1"/>
  <c r="N1387" i="1"/>
  <c r="M1387" i="1"/>
  <c r="O1386" i="1"/>
  <c r="O1386" i="1" a="1"/>
  <c r="N1386" i="1"/>
  <c r="M1386" i="1"/>
  <c r="O1385" i="1" a="1"/>
  <c r="O1385" i="1" s="1"/>
  <c r="N1385" i="1"/>
  <c r="M1385" i="1"/>
  <c r="O1384" i="1"/>
  <c r="O1384" i="1" a="1"/>
  <c r="N1384" i="1"/>
  <c r="M1384" i="1"/>
  <c r="O1383" i="1" a="1"/>
  <c r="O1383" i="1" s="1"/>
  <c r="N1383" i="1"/>
  <c r="M1383" i="1"/>
  <c r="O1382" i="1"/>
  <c r="O1382" i="1" a="1"/>
  <c r="N1382" i="1"/>
  <c r="M1382" i="1"/>
  <c r="O1381" i="1"/>
  <c r="O1381" i="1" a="1"/>
  <c r="N1381" i="1"/>
  <c r="M1381" i="1"/>
  <c r="O1380" i="1" a="1"/>
  <c r="O1380" i="1" s="1"/>
  <c r="N1380" i="1"/>
  <c r="M1380" i="1"/>
  <c r="O1379" i="1"/>
  <c r="O1379" i="1" a="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c r="O1372" i="1" a="1"/>
  <c r="N1372" i="1"/>
  <c r="M1372" i="1"/>
  <c r="O1371" i="1" a="1"/>
  <c r="O1371" i="1" s="1"/>
  <c r="N1371" i="1"/>
  <c r="M1371" i="1"/>
  <c r="O1370" i="1" a="1"/>
  <c r="O1370" i="1" s="1"/>
  <c r="N1370" i="1"/>
  <c r="M1370" i="1"/>
  <c r="O1369" i="1" a="1"/>
  <c r="O1369" i="1" s="1"/>
  <c r="N1369" i="1"/>
  <c r="M1369" i="1"/>
  <c r="O1368" i="1"/>
  <c r="O1368" i="1" a="1"/>
  <c r="N1368" i="1"/>
  <c r="M1368" i="1"/>
  <c r="O1367" i="1" a="1"/>
  <c r="O1367" i="1" s="1"/>
  <c r="N1367" i="1"/>
  <c r="M1367" i="1"/>
  <c r="O1366" i="1" a="1"/>
  <c r="O1366" i="1" s="1"/>
  <c r="N1366" i="1"/>
  <c r="M1366" i="1"/>
  <c r="O1365" i="1"/>
  <c r="O1365" i="1" a="1"/>
  <c r="N1365" i="1"/>
  <c r="M1365" i="1"/>
  <c r="O1364" i="1" a="1"/>
  <c r="O1364" i="1" s="1"/>
  <c r="N1364" i="1"/>
  <c r="M1364" i="1"/>
  <c r="O1363" i="1"/>
  <c r="O1363" i="1" a="1"/>
  <c r="N1363" i="1"/>
  <c r="M1363" i="1"/>
  <c r="O1362" i="1"/>
  <c r="O1362" i="1" a="1"/>
  <c r="N1362" i="1"/>
  <c r="M1362" i="1"/>
  <c r="O1361" i="1" a="1"/>
  <c r="O1361" i="1" s="1"/>
  <c r="N1361" i="1"/>
  <c r="M1361" i="1"/>
  <c r="O1360" i="1" a="1"/>
  <c r="O1360" i="1" s="1"/>
  <c r="N1360" i="1"/>
  <c r="M1360" i="1"/>
  <c r="O1359" i="1" a="1"/>
  <c r="O1359" i="1" s="1"/>
  <c r="N1359" i="1"/>
  <c r="M1359" i="1"/>
  <c r="O1358" i="1"/>
  <c r="O1358" i="1" a="1"/>
  <c r="N1358" i="1"/>
  <c r="M1358" i="1"/>
  <c r="O1357" i="1" a="1"/>
  <c r="O1357" i="1" s="1"/>
  <c r="N1357" i="1"/>
  <c r="M1357" i="1"/>
  <c r="O1356" i="1"/>
  <c r="O1356" i="1" a="1"/>
  <c r="N1356" i="1"/>
  <c r="M1356" i="1"/>
  <c r="O1355" i="1"/>
  <c r="O1355" i="1" a="1"/>
  <c r="N1355" i="1"/>
  <c r="M1355" i="1"/>
  <c r="O1354" i="1" a="1"/>
  <c r="O1354" i="1" s="1"/>
  <c r="N1354" i="1"/>
  <c r="M1354" i="1"/>
  <c r="O1353" i="1"/>
  <c r="O1353" i="1" a="1"/>
  <c r="N1353" i="1"/>
  <c r="M1353" i="1"/>
  <c r="O1352" i="1"/>
  <c r="O1352" i="1" a="1"/>
  <c r="N1352" i="1"/>
  <c r="M1352" i="1"/>
  <c r="O1351" i="1"/>
  <c r="O1351" i="1" a="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c r="O1344" i="1" a="1"/>
  <c r="N1344" i="1"/>
  <c r="M1344" i="1"/>
  <c r="O1343" i="1"/>
  <c r="O1343" i="1" a="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c r="O1337" i="1" a="1"/>
  <c r="N1337" i="1"/>
  <c r="M1337" i="1"/>
  <c r="O1336" i="1"/>
  <c r="O1336" i="1" a="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c r="O1330" i="1" a="1"/>
  <c r="N1330" i="1"/>
  <c r="M1330" i="1"/>
  <c r="O1329" i="1"/>
  <c r="O1329" i="1" a="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c r="O1323" i="1" a="1"/>
  <c r="N1323" i="1"/>
  <c r="M1323" i="1"/>
  <c r="O1322" i="1"/>
  <c r="O1322" i="1" a="1"/>
  <c r="N1322" i="1"/>
  <c r="M1322" i="1"/>
  <c r="O1321" i="1" a="1"/>
  <c r="O1321" i="1" s="1"/>
  <c r="N1321" i="1"/>
  <c r="M1321" i="1"/>
  <c r="O1320" i="1" a="1"/>
  <c r="O1320" i="1" s="1"/>
  <c r="N1320" i="1"/>
  <c r="M1320" i="1"/>
  <c r="O1319" i="1"/>
  <c r="O1319" i="1" a="1"/>
  <c r="N1319" i="1"/>
  <c r="M1319" i="1"/>
  <c r="O1318" i="1" a="1"/>
  <c r="O1318" i="1" s="1"/>
  <c r="N1318" i="1"/>
  <c r="M1318" i="1"/>
  <c r="O1317" i="1" a="1"/>
  <c r="O1317" i="1" s="1"/>
  <c r="N1317" i="1"/>
  <c r="M1317" i="1"/>
  <c r="O1316" i="1"/>
  <c r="O1316" i="1" a="1"/>
  <c r="N1316" i="1"/>
  <c r="M1316" i="1"/>
  <c r="O1315" i="1"/>
  <c r="O1315" i="1" a="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c r="O1309" i="1" a="1"/>
  <c r="N1309" i="1"/>
  <c r="M1309" i="1"/>
  <c r="O1308" i="1"/>
  <c r="O1308" i="1" a="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c r="O1302" i="1" a="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c r="O1295" i="1" a="1"/>
  <c r="N1295" i="1"/>
  <c r="M1295" i="1"/>
  <c r="O1294" i="1"/>
  <c r="O1294" i="1" a="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c r="O1287" i="1" a="1"/>
  <c r="N1287" i="1"/>
  <c r="M1287" i="1"/>
  <c r="O1286" i="1" a="1"/>
  <c r="O1286" i="1" s="1"/>
  <c r="N1286" i="1"/>
  <c r="M1286" i="1"/>
  <c r="O1285" i="1" a="1"/>
  <c r="O1285" i="1" s="1"/>
  <c r="N1285" i="1"/>
  <c r="M1285" i="1"/>
  <c r="O1284" i="1"/>
  <c r="O1284" i="1" a="1"/>
  <c r="N1284" i="1"/>
  <c r="M1284" i="1"/>
  <c r="O1283" i="1" a="1"/>
  <c r="O1283" i="1" s="1"/>
  <c r="N1283" i="1"/>
  <c r="M1283" i="1"/>
  <c r="O1282" i="1" a="1"/>
  <c r="O1282" i="1" s="1"/>
  <c r="N1282" i="1"/>
  <c r="M1282" i="1"/>
  <c r="O1281" i="1"/>
  <c r="O1281" i="1" a="1"/>
  <c r="N1281" i="1"/>
  <c r="M1281" i="1"/>
  <c r="O1280" i="1"/>
  <c r="O1280" i="1" a="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c r="O1274" i="1" a="1"/>
  <c r="N1274" i="1"/>
  <c r="M1274" i="1"/>
  <c r="O1273" i="1"/>
  <c r="O1273" i="1" a="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c r="O1267" i="1" a="1"/>
  <c r="N1267" i="1"/>
  <c r="M1267" i="1"/>
  <c r="O1266" i="1"/>
  <c r="O1266" i="1" a="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c r="O1260" i="1" a="1"/>
  <c r="N1260" i="1"/>
  <c r="M1260" i="1"/>
  <c r="O1259" i="1"/>
  <c r="O1259" i="1" a="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c r="O1253" i="1" a="1"/>
  <c r="N1253" i="1"/>
  <c r="M1253" i="1"/>
  <c r="O1252" i="1"/>
  <c r="O1252" i="1" a="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c r="O1246" i="1" a="1"/>
  <c r="N1246" i="1"/>
  <c r="M1246" i="1"/>
  <c r="O1245" i="1"/>
  <c r="O1245" i="1" a="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c r="O1238" i="1" a="1"/>
  <c r="N1238" i="1"/>
  <c r="M1238" i="1"/>
  <c r="O1237" i="1" a="1"/>
  <c r="O1237" i="1" s="1"/>
  <c r="N1237" i="1"/>
  <c r="M1237" i="1"/>
  <c r="O1236" i="1" a="1"/>
  <c r="O1236" i="1" s="1"/>
  <c r="N1236" i="1"/>
  <c r="M1236" i="1"/>
  <c r="O1235" i="1" a="1"/>
  <c r="O1235" i="1" s="1"/>
  <c r="N1235" i="1"/>
  <c r="M1235" i="1"/>
  <c r="O1234" i="1" a="1"/>
  <c r="O1234" i="1" s="1"/>
  <c r="N1234" i="1"/>
  <c r="M1234" i="1"/>
  <c r="O1233" i="1"/>
  <c r="O1233" i="1" a="1"/>
  <c r="N1233" i="1"/>
  <c r="M1233" i="1"/>
  <c r="O1232" i="1"/>
  <c r="O1232" i="1" a="1"/>
  <c r="N1232" i="1"/>
  <c r="M1232" i="1"/>
  <c r="O1231" i="1"/>
  <c r="O1231" i="1" a="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c r="O1225" i="1" a="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c r="O1218" i="1" a="1"/>
  <c r="N1218" i="1"/>
  <c r="M1218" i="1"/>
  <c r="O1217" i="1"/>
  <c r="O1217" i="1" a="1"/>
  <c r="N1217" i="1"/>
  <c r="M1217" i="1"/>
  <c r="O1216" i="1" a="1"/>
  <c r="O1216" i="1" s="1"/>
  <c r="N1216" i="1"/>
  <c r="M1216" i="1"/>
  <c r="O1215" i="1" a="1"/>
  <c r="O1215" i="1" s="1"/>
  <c r="N1215" i="1"/>
  <c r="M1215" i="1"/>
  <c r="O1214" i="1" a="1"/>
  <c r="O1214" i="1" s="1"/>
  <c r="N1214" i="1"/>
  <c r="M1214" i="1"/>
  <c r="O1213" i="1"/>
  <c r="O1213" i="1" a="1"/>
  <c r="N1213" i="1"/>
  <c r="M1213" i="1"/>
  <c r="O1212" i="1" a="1"/>
  <c r="O1212" i="1" s="1"/>
  <c r="N1212" i="1"/>
  <c r="M1212" i="1"/>
  <c r="O1211" i="1"/>
  <c r="O1211" i="1" a="1"/>
  <c r="N1211" i="1"/>
  <c r="M1211" i="1"/>
  <c r="O1210" i="1"/>
  <c r="O1210" i="1" a="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c r="O1204" i="1" a="1"/>
  <c r="N1204" i="1"/>
  <c r="M1204" i="1"/>
  <c r="O1203" i="1"/>
  <c r="O1203" i="1" a="1"/>
  <c r="N1203" i="1"/>
  <c r="M1203" i="1"/>
  <c r="O1202" i="1" a="1"/>
  <c r="O1202" i="1" s="1"/>
  <c r="N1202" i="1"/>
  <c r="M1202" i="1"/>
  <c r="O1201" i="1" a="1"/>
  <c r="O1201" i="1" s="1"/>
  <c r="N1201" i="1"/>
  <c r="M1201" i="1"/>
  <c r="O1200" i="1" a="1"/>
  <c r="O1200" i="1" s="1"/>
  <c r="N1200" i="1"/>
  <c r="M1200" i="1"/>
  <c r="O1199" i="1" a="1"/>
  <c r="O1199" i="1" s="1"/>
  <c r="N1199" i="1"/>
  <c r="M1199" i="1"/>
  <c r="O1198" i="1"/>
  <c r="O1198" i="1" a="1"/>
  <c r="N1198" i="1"/>
  <c r="M1198" i="1"/>
  <c r="O1197" i="1"/>
  <c r="O1197" i="1" a="1"/>
  <c r="N1197" i="1"/>
  <c r="M1197" i="1"/>
  <c r="O1196" i="1"/>
  <c r="O1196" i="1" a="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c r="O1190" i="1" a="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c r="O1183" i="1" a="1"/>
  <c r="N1183" i="1"/>
  <c r="M1183" i="1"/>
  <c r="O1182" i="1"/>
  <c r="O1182" i="1" a="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c r="O1176" i="1" a="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c r="O1169" i="1" a="1"/>
  <c r="N1169" i="1"/>
  <c r="M1169" i="1"/>
  <c r="O1168" i="1"/>
  <c r="O1168" i="1" a="1"/>
  <c r="N1168" i="1"/>
  <c r="M1168" i="1"/>
  <c r="O1167" i="1" a="1"/>
  <c r="O1167" i="1" s="1"/>
  <c r="N1167" i="1"/>
  <c r="M1167" i="1"/>
  <c r="O1166" i="1" a="1"/>
  <c r="O1166" i="1" s="1"/>
  <c r="N1166" i="1"/>
  <c r="M1166" i="1"/>
  <c r="O1165" i="1"/>
  <c r="O1165" i="1" a="1"/>
  <c r="N1165" i="1"/>
  <c r="M1165" i="1"/>
  <c r="O1164" i="1" a="1"/>
  <c r="O1164" i="1" s="1"/>
  <c r="N1164" i="1"/>
  <c r="M1164" i="1"/>
  <c r="O1163" i="1" a="1"/>
  <c r="O1163" i="1" s="1"/>
  <c r="N1163" i="1"/>
  <c r="M1163" i="1"/>
  <c r="O1162" i="1"/>
  <c r="O1162" i="1" a="1"/>
  <c r="N1162" i="1"/>
  <c r="M1162" i="1"/>
  <c r="O1161" i="1"/>
  <c r="O1161" i="1" a="1"/>
  <c r="N1161" i="1"/>
  <c r="M1161" i="1"/>
  <c r="O1160" i="1" a="1"/>
  <c r="O1160" i="1" s="1"/>
  <c r="N1160" i="1"/>
  <c r="M1160" i="1"/>
  <c r="O1159" i="1" a="1"/>
  <c r="O1159" i="1" s="1"/>
  <c r="N1159" i="1"/>
  <c r="M1159" i="1"/>
  <c r="O1158" i="1" a="1"/>
  <c r="O1158" i="1" s="1"/>
  <c r="N1158" i="1"/>
  <c r="M1158" i="1"/>
  <c r="O1157" i="1"/>
  <c r="O1157" i="1" a="1"/>
  <c r="N1157" i="1"/>
  <c r="M1157" i="1"/>
  <c r="O1156" i="1" a="1"/>
  <c r="O1156" i="1" s="1"/>
  <c r="N1156" i="1"/>
  <c r="M1156" i="1"/>
  <c r="O1155" i="1"/>
  <c r="O1155" i="1" a="1"/>
  <c r="N1155" i="1"/>
  <c r="M1155" i="1"/>
  <c r="O1154" i="1"/>
  <c r="O1154" i="1" a="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c r="O1148" i="1" a="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c r="O1141" i="1" a="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c r="O1134" i="1" a="1"/>
  <c r="N1134" i="1"/>
  <c r="M1134" i="1"/>
  <c r="O1133" i="1"/>
  <c r="O1133" i="1" a="1"/>
  <c r="N1133" i="1"/>
  <c r="M1133" i="1"/>
  <c r="O1132" i="1" a="1"/>
  <c r="O1132" i="1" s="1"/>
  <c r="N1132" i="1"/>
  <c r="M1132" i="1"/>
  <c r="O1131" i="1" a="1"/>
  <c r="O1131" i="1" s="1"/>
  <c r="N1131" i="1"/>
  <c r="M1131" i="1"/>
  <c r="O1130" i="1"/>
  <c r="O1130" i="1" a="1"/>
  <c r="N1130" i="1"/>
  <c r="M1130" i="1"/>
  <c r="O1129" i="1" a="1"/>
  <c r="O1129" i="1" s="1"/>
  <c r="N1129" i="1"/>
  <c r="M1129" i="1"/>
  <c r="O1128" i="1" a="1"/>
  <c r="O1128" i="1" s="1"/>
  <c r="N1128" i="1"/>
  <c r="M1128" i="1"/>
  <c r="O1127" i="1"/>
  <c r="O1127" i="1" a="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c r="O1120" i="1" a="1"/>
  <c r="N1120" i="1"/>
  <c r="M1120" i="1"/>
  <c r="O1119" i="1"/>
  <c r="O1119" i="1" a="1"/>
  <c r="N1119" i="1"/>
  <c r="M1119" i="1"/>
  <c r="O1118" i="1" a="1"/>
  <c r="O1118" i="1" s="1"/>
  <c r="N1118" i="1"/>
  <c r="M1118" i="1"/>
  <c r="O1117" i="1" a="1"/>
  <c r="O1117" i="1" s="1"/>
  <c r="N1117" i="1"/>
  <c r="M1117" i="1"/>
  <c r="O1116" i="1" a="1"/>
  <c r="O1116" i="1" s="1"/>
  <c r="N1116" i="1"/>
  <c r="M1116" i="1"/>
  <c r="O1115" i="1"/>
  <c r="O1115" i="1" a="1"/>
  <c r="N1115" i="1"/>
  <c r="M1115" i="1"/>
  <c r="O1114" i="1"/>
  <c r="O1114" i="1" a="1"/>
  <c r="N1114" i="1"/>
  <c r="M1114" i="1"/>
  <c r="O1113" i="1"/>
  <c r="O1113" i="1" a="1"/>
  <c r="N1113" i="1"/>
  <c r="M1113" i="1"/>
  <c r="O1112" i="1"/>
  <c r="O1112" i="1" a="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c r="O1106" i="1" a="1"/>
  <c r="N1106" i="1"/>
  <c r="M1106" i="1"/>
  <c r="O1105" i="1"/>
  <c r="O1105" i="1" a="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c r="O1098" i="1" a="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c r="O1092" i="1" a="1"/>
  <c r="N1092" i="1"/>
  <c r="M1092" i="1"/>
  <c r="O1091" i="1"/>
  <c r="O1091" i="1" a="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c r="O1085" i="1" a="1"/>
  <c r="N1085" i="1"/>
  <c r="M1085" i="1"/>
  <c r="O1084" i="1"/>
  <c r="O1084" i="1" a="1"/>
  <c r="N1084" i="1"/>
  <c r="M1084" i="1"/>
  <c r="O1083" i="1" a="1"/>
  <c r="O1083" i="1" s="1"/>
  <c r="N1083" i="1"/>
  <c r="M1083" i="1"/>
  <c r="O1082" i="1" a="1"/>
  <c r="O1082" i="1" s="1"/>
  <c r="N1082" i="1"/>
  <c r="M1082" i="1"/>
  <c r="O1081" i="1" a="1"/>
  <c r="O1081" i="1" s="1"/>
  <c r="N1081" i="1"/>
  <c r="M1081" i="1"/>
  <c r="O1080" i="1" a="1"/>
  <c r="O1080" i="1" s="1"/>
  <c r="N1080" i="1"/>
  <c r="M1080" i="1"/>
  <c r="O1079" i="1"/>
  <c r="O1079" i="1" a="1"/>
  <c r="N1079" i="1"/>
  <c r="M1079" i="1"/>
  <c r="O1078" i="1"/>
  <c r="O1078" i="1" a="1"/>
  <c r="N1078" i="1"/>
  <c r="M1078" i="1"/>
  <c r="O1077" i="1"/>
  <c r="O1077" i="1" a="1"/>
  <c r="N1077" i="1"/>
  <c r="M1077" i="1"/>
  <c r="O1076" i="1" a="1"/>
  <c r="O1076" i="1" s="1"/>
  <c r="N1076" i="1"/>
  <c r="M1076" i="1"/>
  <c r="O1075" i="1" a="1"/>
  <c r="O1075" i="1" s="1"/>
  <c r="N1075" i="1"/>
  <c r="M1075" i="1"/>
  <c r="O1074" i="1" a="1"/>
  <c r="O1074" i="1" s="1"/>
  <c r="N1074" i="1"/>
  <c r="M1074" i="1"/>
  <c r="O1073" i="1"/>
  <c r="O1073" i="1" a="1"/>
  <c r="N1073" i="1"/>
  <c r="M1073" i="1"/>
  <c r="O1072" i="1" a="1"/>
  <c r="O1072" i="1" s="1"/>
  <c r="N1072" i="1"/>
  <c r="M1072" i="1"/>
  <c r="O1071" i="1"/>
  <c r="O1071" i="1" a="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c r="O1064" i="1" a="1"/>
  <c r="N1064" i="1"/>
  <c r="M1064" i="1"/>
  <c r="O1063" i="1"/>
  <c r="O1063" i="1" a="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c r="O1056" i="1" a="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c r="O1042" i="1" a="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c r="O1025" i="1" a="1"/>
  <c r="N1025" i="1"/>
  <c r="M1025" i="1"/>
  <c r="O1024" i="1" a="1"/>
  <c r="O1024" i="1" s="1"/>
  <c r="N1024" i="1"/>
  <c r="M1024" i="1"/>
  <c r="O1023" i="1" a="1"/>
  <c r="O1023" i="1" s="1"/>
  <c r="N1023" i="1"/>
  <c r="M1023" i="1"/>
  <c r="O1022" i="1" a="1"/>
  <c r="O1022" i="1" s="1"/>
  <c r="N1022" i="1"/>
  <c r="M1022" i="1"/>
  <c r="O1021" i="1"/>
  <c r="O1021" i="1" a="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c r="O1014" i="1" a="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c r="O1000" i="1" a="1"/>
  <c r="N1000" i="1"/>
  <c r="M1000" i="1"/>
  <c r="O999" i="1" a="1"/>
  <c r="O999" i="1" s="1"/>
  <c r="N999" i="1"/>
  <c r="M999" i="1"/>
  <c r="O998" i="1" a="1"/>
  <c r="O998" i="1" s="1"/>
  <c r="N998" i="1"/>
  <c r="M998" i="1"/>
  <c r="O997" i="1" a="1"/>
  <c r="O997" i="1" s="1"/>
  <c r="N997" i="1"/>
  <c r="M997" i="1"/>
  <c r="O996" i="1" a="1"/>
  <c r="O996" i="1" s="1"/>
  <c r="N996" i="1"/>
  <c r="M996" i="1"/>
  <c r="O995" i="1"/>
  <c r="O995" i="1" a="1"/>
  <c r="N995" i="1"/>
  <c r="M995" i="1"/>
  <c r="O994" i="1" a="1"/>
  <c r="O994" i="1" s="1"/>
  <c r="N994" i="1"/>
  <c r="M994" i="1"/>
  <c r="O993" i="1"/>
  <c r="O993" i="1" a="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c r="O986" i="1" a="1"/>
  <c r="N986" i="1"/>
  <c r="M986" i="1"/>
  <c r="O985" i="1" a="1"/>
  <c r="O985" i="1" s="1"/>
  <c r="N985" i="1"/>
  <c r="M985" i="1"/>
  <c r="O984" i="1" a="1"/>
  <c r="O984" i="1" s="1"/>
  <c r="N984" i="1"/>
  <c r="M984" i="1"/>
  <c r="O983" i="1" a="1"/>
  <c r="O983" i="1" s="1"/>
  <c r="N983" i="1"/>
  <c r="M983" i="1"/>
  <c r="O982" i="1" a="1"/>
  <c r="O982" i="1" s="1"/>
  <c r="N982" i="1"/>
  <c r="M982" i="1"/>
  <c r="O981" i="1"/>
  <c r="O981" i="1" a="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c r="O972" i="1" a="1"/>
  <c r="N972" i="1"/>
  <c r="M972" i="1"/>
  <c r="O971" i="1" a="1"/>
  <c r="O971" i="1" s="1"/>
  <c r="N971" i="1"/>
  <c r="M971" i="1"/>
  <c r="O970" i="1" a="1"/>
  <c r="O970" i="1" s="1"/>
  <c r="N970" i="1"/>
  <c r="M970" i="1"/>
  <c r="O969" i="1" a="1"/>
  <c r="O969" i="1" s="1"/>
  <c r="N969" i="1"/>
  <c r="M969" i="1"/>
  <c r="O968" i="1"/>
  <c r="O968" i="1" a="1"/>
  <c r="N968" i="1"/>
  <c r="M968" i="1"/>
  <c r="O967" i="1" a="1"/>
  <c r="O967" i="1" s="1"/>
  <c r="N967" i="1"/>
  <c r="M967" i="1"/>
  <c r="O966" i="1" a="1"/>
  <c r="O966" i="1" s="1"/>
  <c r="N966" i="1"/>
  <c r="M966" i="1"/>
  <c r="O965" i="1"/>
  <c r="O965" i="1" a="1"/>
  <c r="N965" i="1"/>
  <c r="M965" i="1"/>
  <c r="O964" i="1" a="1"/>
  <c r="O964" i="1" s="1"/>
  <c r="N964" i="1"/>
  <c r="M964" i="1"/>
  <c r="O963" i="1" a="1"/>
  <c r="O963" i="1" s="1"/>
  <c r="N963" i="1"/>
  <c r="M963" i="1"/>
  <c r="O962" i="1" a="1"/>
  <c r="O962" i="1" s="1"/>
  <c r="N962" i="1"/>
  <c r="M962" i="1"/>
  <c r="O961" i="1" a="1"/>
  <c r="O961" i="1" s="1"/>
  <c r="N961" i="1"/>
  <c r="M961" i="1"/>
  <c r="O960" i="1"/>
  <c r="O960" i="1" a="1"/>
  <c r="N960" i="1"/>
  <c r="M960" i="1"/>
  <c r="O959" i="1" a="1"/>
  <c r="O959" i="1" s="1"/>
  <c r="N959" i="1"/>
  <c r="M959" i="1"/>
  <c r="O958" i="1"/>
  <c r="O958" i="1" a="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c r="O951" i="1" a="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c r="O944" i="1" a="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c r="O937" i="1" a="1"/>
  <c r="N937" i="1"/>
  <c r="M937" i="1"/>
  <c r="O936" i="1" a="1"/>
  <c r="O936" i="1" s="1"/>
  <c r="N936" i="1"/>
  <c r="M936" i="1"/>
  <c r="O935" i="1" a="1"/>
  <c r="O935" i="1" s="1"/>
  <c r="N935" i="1"/>
  <c r="M935" i="1"/>
  <c r="O934" i="1" a="1"/>
  <c r="O934" i="1" s="1"/>
  <c r="N934" i="1"/>
  <c r="M934" i="1"/>
  <c r="O933" i="1"/>
  <c r="O933" i="1" a="1"/>
  <c r="N933" i="1"/>
  <c r="M933" i="1"/>
  <c r="O932" i="1" a="1"/>
  <c r="O932" i="1" s="1"/>
  <c r="N932" i="1"/>
  <c r="M932" i="1"/>
  <c r="O931" i="1" a="1"/>
  <c r="O931" i="1" s="1"/>
  <c r="N931" i="1"/>
  <c r="M931" i="1"/>
  <c r="O930" i="1"/>
  <c r="O930" i="1" a="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c r="O923" i="1" a="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c r="O916" i="1" a="1"/>
  <c r="N916" i="1"/>
  <c r="M916" i="1"/>
  <c r="O915" i="1" a="1"/>
  <c r="O915" i="1" s="1"/>
  <c r="N915" i="1"/>
  <c r="M915" i="1"/>
  <c r="O914" i="1" a="1"/>
  <c r="O914" i="1" s="1"/>
  <c r="N914" i="1"/>
  <c r="M914" i="1"/>
  <c r="O913" i="1" a="1"/>
  <c r="O913" i="1" s="1"/>
  <c r="N913" i="1"/>
  <c r="M913" i="1"/>
  <c r="O912" i="1"/>
  <c r="O912" i="1" a="1"/>
  <c r="N912" i="1"/>
  <c r="M912" i="1"/>
  <c r="O911" i="1" a="1"/>
  <c r="O911" i="1" s="1"/>
  <c r="N911" i="1"/>
  <c r="M911" i="1"/>
  <c r="O910" i="1" a="1"/>
  <c r="O910" i="1" s="1"/>
  <c r="N910" i="1"/>
  <c r="M910" i="1"/>
  <c r="O909" i="1"/>
  <c r="O909" i="1" a="1"/>
  <c r="N909" i="1"/>
  <c r="M909" i="1"/>
  <c r="O908" i="1" a="1"/>
  <c r="O908" i="1" s="1"/>
  <c r="N908" i="1"/>
  <c r="M908" i="1"/>
  <c r="O907" i="1"/>
  <c r="O907" i="1" a="1"/>
  <c r="N907" i="1"/>
  <c r="M907" i="1"/>
  <c r="O906" i="1" a="1"/>
  <c r="O906" i="1" s="1"/>
  <c r="N906" i="1"/>
  <c r="M906" i="1"/>
  <c r="O905" i="1" a="1"/>
  <c r="O905" i="1" s="1"/>
  <c r="N905" i="1"/>
  <c r="M905" i="1"/>
  <c r="O904" i="1"/>
  <c r="O904" i="1" a="1"/>
  <c r="N904" i="1"/>
  <c r="M904" i="1"/>
  <c r="O903" i="1"/>
  <c r="O903" i="1" a="1"/>
  <c r="N903" i="1"/>
  <c r="M903" i="1"/>
  <c r="O902" i="1"/>
  <c r="O902" i="1" a="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c r="O896" i="1" a="1"/>
  <c r="N896" i="1"/>
  <c r="M896" i="1"/>
  <c r="O895" i="1"/>
  <c r="O895" i="1" a="1"/>
  <c r="N895" i="1"/>
  <c r="M895" i="1"/>
  <c r="O894" i="1" a="1"/>
  <c r="O894" i="1" s="1"/>
  <c r="N894" i="1"/>
  <c r="M894" i="1"/>
  <c r="O893" i="1"/>
  <c r="O893" i="1" a="1"/>
  <c r="N893" i="1"/>
  <c r="M893" i="1"/>
  <c r="O892" i="1" a="1"/>
  <c r="O892" i="1" s="1"/>
  <c r="N892" i="1"/>
  <c r="M892" i="1"/>
  <c r="O891" i="1"/>
  <c r="O891" i="1" a="1"/>
  <c r="N891" i="1"/>
  <c r="M891" i="1"/>
  <c r="O890" i="1"/>
  <c r="O890" i="1" a="1"/>
  <c r="N890" i="1"/>
  <c r="M890" i="1"/>
  <c r="O889" i="1" a="1"/>
  <c r="O889" i="1" s="1"/>
  <c r="N889" i="1"/>
  <c r="M889" i="1"/>
  <c r="O888" i="1"/>
  <c r="O888" i="1" a="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c r="O878" i="1" a="1"/>
  <c r="N878" i="1"/>
  <c r="M878" i="1"/>
  <c r="O877" i="1" a="1"/>
  <c r="O877" i="1" s="1"/>
  <c r="N877" i="1"/>
  <c r="M877" i="1"/>
  <c r="O876" i="1" a="1"/>
  <c r="O876" i="1" s="1"/>
  <c r="N876" i="1"/>
  <c r="M876" i="1"/>
  <c r="O875" i="1"/>
  <c r="O875" i="1" a="1"/>
  <c r="N875" i="1"/>
  <c r="M875" i="1"/>
  <c r="O874" i="1"/>
  <c r="O874" i="1" a="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c r="O868" i="1" a="1"/>
  <c r="N868" i="1"/>
  <c r="M868" i="1"/>
  <c r="O867" i="1"/>
  <c r="O867" i="1" a="1"/>
  <c r="N867" i="1"/>
  <c r="M867" i="1"/>
  <c r="O866" i="1" a="1"/>
  <c r="O866" i="1" s="1"/>
  <c r="N866" i="1"/>
  <c r="M866" i="1"/>
  <c r="O865" i="1"/>
  <c r="O865" i="1" a="1"/>
  <c r="N865" i="1"/>
  <c r="M865" i="1"/>
  <c r="O864" i="1"/>
  <c r="O864" i="1" a="1"/>
  <c r="N864" i="1"/>
  <c r="M864" i="1"/>
  <c r="O863" i="1" a="1"/>
  <c r="O863" i="1" s="1"/>
  <c r="N863" i="1"/>
  <c r="M863" i="1"/>
  <c r="O862" i="1"/>
  <c r="O862" i="1" a="1"/>
  <c r="N862" i="1"/>
  <c r="M862" i="1"/>
  <c r="O861" i="1" a="1"/>
  <c r="O861" i="1" s="1"/>
  <c r="N861" i="1"/>
  <c r="M861" i="1"/>
  <c r="O860" i="1"/>
  <c r="O860" i="1" a="1"/>
  <c r="N860" i="1"/>
  <c r="M860" i="1"/>
  <c r="O859" i="1" a="1"/>
  <c r="O859" i="1" s="1"/>
  <c r="N859" i="1"/>
  <c r="M859" i="1"/>
  <c r="O858" i="1"/>
  <c r="O858" i="1" a="1"/>
  <c r="N858" i="1"/>
  <c r="M858" i="1"/>
  <c r="O857" i="1" a="1"/>
  <c r="O857" i="1" s="1"/>
  <c r="N857" i="1"/>
  <c r="M857" i="1"/>
  <c r="O856" i="1" a="1"/>
  <c r="O856" i="1" s="1"/>
  <c r="N856" i="1"/>
  <c r="M856" i="1"/>
  <c r="O855" i="1"/>
  <c r="O855" i="1" a="1"/>
  <c r="N855" i="1"/>
  <c r="M855" i="1"/>
  <c r="O854" i="1" a="1"/>
  <c r="O854" i="1" s="1"/>
  <c r="N854" i="1"/>
  <c r="M854" i="1"/>
  <c r="O853" i="1"/>
  <c r="O853" i="1" a="1"/>
  <c r="N853" i="1"/>
  <c r="M853" i="1"/>
  <c r="O852" i="1" a="1"/>
  <c r="O852" i="1" s="1"/>
  <c r="N852" i="1"/>
  <c r="M852" i="1"/>
  <c r="O851" i="1" a="1"/>
  <c r="O851" i="1" s="1"/>
  <c r="N851" i="1"/>
  <c r="M851" i="1"/>
  <c r="O850" i="1" a="1"/>
  <c r="O850" i="1" s="1"/>
  <c r="N850" i="1"/>
  <c r="M850" i="1"/>
  <c r="O849" i="1"/>
  <c r="O849" i="1" a="1"/>
  <c r="N849" i="1"/>
  <c r="M849" i="1"/>
  <c r="O848" i="1" a="1"/>
  <c r="O848" i="1" s="1"/>
  <c r="N848" i="1"/>
  <c r="M848" i="1"/>
  <c r="O847" i="1" a="1"/>
  <c r="O847" i="1" s="1"/>
  <c r="N847" i="1"/>
  <c r="M847" i="1"/>
  <c r="O846" i="1"/>
  <c r="O846" i="1" a="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c r="O839" i="1" a="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c r="O833" i="1" a="1"/>
  <c r="N833" i="1"/>
  <c r="M833" i="1"/>
  <c r="O832" i="1"/>
  <c r="O832" i="1" a="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c r="O825" i="1" a="1"/>
  <c r="N825" i="1"/>
  <c r="M825" i="1"/>
  <c r="O824" i="1" a="1"/>
  <c r="O824" i="1" s="1"/>
  <c r="N824" i="1"/>
  <c r="M824" i="1"/>
  <c r="O823" i="1"/>
  <c r="O823" i="1" a="1"/>
  <c r="N823" i="1"/>
  <c r="M823" i="1"/>
  <c r="O822" i="1" a="1"/>
  <c r="O822" i="1" s="1"/>
  <c r="N822" i="1"/>
  <c r="M822" i="1"/>
  <c r="O821" i="1"/>
  <c r="O821" i="1" a="1"/>
  <c r="N821" i="1"/>
  <c r="M821" i="1"/>
  <c r="O820" i="1"/>
  <c r="O820" i="1" a="1"/>
  <c r="N820" i="1"/>
  <c r="M820" i="1"/>
  <c r="O819" i="1" a="1"/>
  <c r="O819" i="1" s="1"/>
  <c r="N819" i="1"/>
  <c r="M819" i="1"/>
  <c r="O818" i="1"/>
  <c r="O818" i="1" a="1"/>
  <c r="N818" i="1"/>
  <c r="M818" i="1"/>
  <c r="O817" i="1" a="1"/>
  <c r="O817" i="1" s="1"/>
  <c r="N817" i="1"/>
  <c r="M817" i="1"/>
  <c r="O816" i="1"/>
  <c r="O816" i="1" a="1"/>
  <c r="N816" i="1"/>
  <c r="M816" i="1"/>
  <c r="O815" i="1" a="1"/>
  <c r="O815" i="1" s="1"/>
  <c r="N815" i="1"/>
  <c r="M815" i="1"/>
  <c r="O814" i="1"/>
  <c r="O814" i="1" a="1"/>
  <c r="N814" i="1"/>
  <c r="M814" i="1"/>
  <c r="O813" i="1"/>
  <c r="O813" i="1" a="1"/>
  <c r="N813" i="1"/>
  <c r="M813" i="1"/>
  <c r="O812" i="1" a="1"/>
  <c r="O812" i="1" s="1"/>
  <c r="N812" i="1"/>
  <c r="M812" i="1"/>
  <c r="O811" i="1"/>
  <c r="O811" i="1" a="1"/>
  <c r="N811" i="1"/>
  <c r="M811" i="1"/>
  <c r="O810" i="1" a="1"/>
  <c r="O810" i="1" s="1"/>
  <c r="N810" i="1"/>
  <c r="M810" i="1"/>
  <c r="O809" i="1"/>
  <c r="O809" i="1" a="1"/>
  <c r="N809" i="1"/>
  <c r="M809" i="1"/>
  <c r="O808" i="1" a="1"/>
  <c r="O808" i="1" s="1"/>
  <c r="N808" i="1"/>
  <c r="M808" i="1"/>
  <c r="O807" i="1" a="1"/>
  <c r="O807" i="1" s="1"/>
  <c r="N807" i="1"/>
  <c r="M807" i="1"/>
  <c r="O806" i="1" a="1"/>
  <c r="O806" i="1" s="1"/>
  <c r="N806" i="1"/>
  <c r="M806" i="1"/>
  <c r="O805" i="1" a="1"/>
  <c r="O805" i="1" s="1"/>
  <c r="N805" i="1"/>
  <c r="M805" i="1"/>
  <c r="O804" i="1"/>
  <c r="O804" i="1" a="1"/>
  <c r="N804" i="1"/>
  <c r="M804" i="1"/>
  <c r="O803" i="1" a="1"/>
  <c r="O803" i="1" s="1"/>
  <c r="N803" i="1"/>
  <c r="M803" i="1"/>
  <c r="O802" i="1" a="1"/>
  <c r="O802" i="1" s="1"/>
  <c r="N802" i="1"/>
  <c r="M802" i="1"/>
  <c r="O801" i="1" a="1"/>
  <c r="O801" i="1" s="1"/>
  <c r="N801" i="1"/>
  <c r="M801" i="1"/>
  <c r="O800" i="1"/>
  <c r="O800" i="1" a="1"/>
  <c r="N800" i="1"/>
  <c r="M800" i="1"/>
  <c r="O799" i="1" a="1"/>
  <c r="O799" i="1" s="1"/>
  <c r="N799" i="1"/>
  <c r="M799" i="1"/>
  <c r="O798" i="1" a="1"/>
  <c r="O798" i="1" s="1"/>
  <c r="N798" i="1"/>
  <c r="M798" i="1"/>
  <c r="O797" i="1"/>
  <c r="O797" i="1" a="1"/>
  <c r="N797" i="1"/>
  <c r="M797" i="1"/>
  <c r="O796" i="1" a="1"/>
  <c r="O796" i="1" s="1"/>
  <c r="N796" i="1"/>
  <c r="M796" i="1"/>
  <c r="O795" i="1"/>
  <c r="O795" i="1" a="1"/>
  <c r="N795" i="1"/>
  <c r="M795" i="1"/>
  <c r="O794" i="1"/>
  <c r="O794" i="1" a="1"/>
  <c r="N794" i="1"/>
  <c r="M794" i="1"/>
  <c r="O793" i="1" a="1"/>
  <c r="O793" i="1" s="1"/>
  <c r="N793" i="1"/>
  <c r="M793" i="1"/>
  <c r="O792" i="1" a="1"/>
  <c r="O792" i="1" s="1"/>
  <c r="N792" i="1"/>
  <c r="M792" i="1"/>
  <c r="O791" i="1"/>
  <c r="O791" i="1" a="1"/>
  <c r="N791" i="1"/>
  <c r="M791" i="1"/>
  <c r="O790" i="1"/>
  <c r="O790" i="1" a="1"/>
  <c r="N790" i="1"/>
  <c r="M790" i="1"/>
  <c r="O789" i="1" a="1"/>
  <c r="O789" i="1" s="1"/>
  <c r="N789" i="1"/>
  <c r="M789" i="1"/>
  <c r="O788" i="1" a="1"/>
  <c r="O788" i="1" s="1"/>
  <c r="N788" i="1"/>
  <c r="M788" i="1"/>
  <c r="O787" i="1" a="1"/>
  <c r="O787" i="1" s="1"/>
  <c r="N787" i="1"/>
  <c r="M787" i="1"/>
  <c r="O786" i="1" a="1"/>
  <c r="O786" i="1" s="1"/>
  <c r="N786" i="1"/>
  <c r="M786" i="1"/>
  <c r="O785" i="1"/>
  <c r="O785" i="1" a="1"/>
  <c r="N785" i="1"/>
  <c r="M785" i="1"/>
  <c r="O784" i="1" a="1"/>
  <c r="O784" i="1" s="1"/>
  <c r="N784" i="1"/>
  <c r="M784" i="1"/>
  <c r="O783" i="1"/>
  <c r="O783" i="1" a="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c r="O776" i="1" a="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c r="O770" i="1" a="1"/>
  <c r="N770" i="1"/>
  <c r="M770" i="1"/>
  <c r="O769" i="1"/>
  <c r="O769" i="1" a="1"/>
  <c r="N769" i="1"/>
  <c r="M769" i="1"/>
  <c r="O768" i="1" a="1"/>
  <c r="O768" i="1" s="1"/>
  <c r="N768" i="1"/>
  <c r="M768" i="1"/>
  <c r="O767" i="1"/>
  <c r="O767" i="1" a="1"/>
  <c r="N767" i="1"/>
  <c r="M767" i="1"/>
  <c r="O766" i="1"/>
  <c r="O766" i="1" a="1"/>
  <c r="N766" i="1"/>
  <c r="M766" i="1"/>
  <c r="O765" i="1"/>
  <c r="O765" i="1" a="1"/>
  <c r="N765" i="1"/>
  <c r="M765" i="1"/>
  <c r="O764" i="1"/>
  <c r="O764" i="1" a="1"/>
  <c r="N764" i="1"/>
  <c r="M764" i="1"/>
  <c r="O763" i="1" a="1"/>
  <c r="O763" i="1" s="1"/>
  <c r="N763" i="1"/>
  <c r="M763" i="1"/>
  <c r="O762" i="1"/>
  <c r="O762" i="1" a="1"/>
  <c r="N762" i="1"/>
  <c r="M762" i="1"/>
  <c r="O761" i="1" a="1"/>
  <c r="O761" i="1" s="1"/>
  <c r="N761" i="1"/>
  <c r="M761" i="1"/>
  <c r="O760" i="1" a="1"/>
  <c r="O760" i="1" s="1"/>
  <c r="N760" i="1"/>
  <c r="M760" i="1"/>
  <c r="O759" i="1" a="1"/>
  <c r="O759" i="1" s="1"/>
  <c r="N759" i="1"/>
  <c r="M759" i="1"/>
  <c r="O758" i="1"/>
  <c r="O758" i="1" a="1"/>
  <c r="N758" i="1"/>
  <c r="M758" i="1"/>
  <c r="O757" i="1" a="1"/>
  <c r="O757" i="1" s="1"/>
  <c r="N757" i="1"/>
  <c r="M757" i="1"/>
  <c r="O756" i="1" a="1"/>
  <c r="O756" i="1" s="1"/>
  <c r="N756" i="1"/>
  <c r="M756" i="1"/>
  <c r="O755" i="1"/>
  <c r="O755" i="1" a="1"/>
  <c r="N755" i="1"/>
  <c r="M755" i="1"/>
  <c r="O754" i="1" a="1"/>
  <c r="O754" i="1" s="1"/>
  <c r="N754" i="1"/>
  <c r="M754" i="1"/>
  <c r="O753" i="1"/>
  <c r="O753" i="1" a="1"/>
  <c r="N753" i="1"/>
  <c r="M753" i="1"/>
  <c r="O752" i="1"/>
  <c r="O752" i="1" a="1"/>
  <c r="N752" i="1"/>
  <c r="M752" i="1"/>
  <c r="O751" i="1" a="1"/>
  <c r="O751" i="1" s="1"/>
  <c r="N751" i="1"/>
  <c r="M751" i="1"/>
  <c r="O750" i="1" a="1"/>
  <c r="O750" i="1" s="1"/>
  <c r="N750" i="1"/>
  <c r="M750" i="1"/>
  <c r="O749" i="1" a="1"/>
  <c r="O749" i="1" s="1"/>
  <c r="N749" i="1"/>
  <c r="M749" i="1"/>
  <c r="O748" i="1"/>
  <c r="O748" i="1" a="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c r="O741" i="1" a="1"/>
  <c r="N741" i="1"/>
  <c r="M741" i="1"/>
  <c r="O740" i="1" a="1"/>
  <c r="O740" i="1" s="1"/>
  <c r="N740" i="1"/>
  <c r="M740" i="1"/>
  <c r="O739" i="1" a="1"/>
  <c r="O739" i="1" s="1"/>
  <c r="N739" i="1"/>
  <c r="M739" i="1"/>
  <c r="O738" i="1" a="1"/>
  <c r="O738" i="1" s="1"/>
  <c r="N738" i="1"/>
  <c r="M738" i="1"/>
  <c r="O737" i="1"/>
  <c r="O737" i="1" a="1"/>
  <c r="N737" i="1"/>
  <c r="M737" i="1"/>
  <c r="O736" i="1"/>
  <c r="O736" i="1" a="1"/>
  <c r="N736" i="1"/>
  <c r="M736" i="1"/>
  <c r="O735" i="1"/>
  <c r="O735" i="1" a="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c r="O727" i="1" a="1"/>
  <c r="N727" i="1"/>
  <c r="M727" i="1"/>
  <c r="O726" i="1" a="1"/>
  <c r="O726" i="1" s="1"/>
  <c r="N726" i="1"/>
  <c r="M726" i="1"/>
  <c r="O725" i="1" a="1"/>
  <c r="O725" i="1" s="1"/>
  <c r="N725" i="1"/>
  <c r="M725" i="1"/>
  <c r="O724" i="1"/>
  <c r="O724" i="1" a="1"/>
  <c r="N724" i="1"/>
  <c r="M724" i="1"/>
  <c r="O723" i="1" a="1"/>
  <c r="O723" i="1" s="1"/>
  <c r="N723" i="1"/>
  <c r="M723" i="1"/>
  <c r="O722" i="1" a="1"/>
  <c r="O722" i="1" s="1"/>
  <c r="N722" i="1"/>
  <c r="M722" i="1"/>
  <c r="O721" i="1" a="1"/>
  <c r="O721" i="1" s="1"/>
  <c r="N721" i="1"/>
  <c r="M721" i="1"/>
  <c r="O720" i="1"/>
  <c r="O720" i="1" a="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c r="O711" i="1" a="1"/>
  <c r="N711" i="1"/>
  <c r="M711" i="1"/>
  <c r="O710" i="1" a="1"/>
  <c r="O710" i="1" s="1"/>
  <c r="N710" i="1"/>
  <c r="M710" i="1"/>
  <c r="O709" i="1" a="1"/>
  <c r="O709" i="1" s="1"/>
  <c r="N709" i="1"/>
  <c r="M709" i="1"/>
  <c r="O708" i="1"/>
  <c r="O708" i="1" a="1"/>
  <c r="N708" i="1"/>
  <c r="M708" i="1"/>
  <c r="O707" i="1"/>
  <c r="O707" i="1" a="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c r="O699" i="1" a="1"/>
  <c r="N699" i="1"/>
  <c r="M699" i="1"/>
  <c r="O698" i="1" a="1"/>
  <c r="O698" i="1" s="1"/>
  <c r="N698" i="1"/>
  <c r="M698" i="1"/>
  <c r="O697" i="1" a="1"/>
  <c r="O697" i="1" s="1"/>
  <c r="N697" i="1"/>
  <c r="M697" i="1"/>
  <c r="O696" i="1" a="1"/>
  <c r="O696" i="1" s="1"/>
  <c r="N696" i="1"/>
  <c r="M696" i="1"/>
  <c r="O695" i="1"/>
  <c r="O695" i="1" a="1"/>
  <c r="N695" i="1"/>
  <c r="M695" i="1"/>
  <c r="O694" i="1" a="1"/>
  <c r="O694" i="1" s="1"/>
  <c r="N694" i="1"/>
  <c r="M694" i="1"/>
  <c r="O693" i="1"/>
  <c r="O693" i="1" a="1"/>
  <c r="N693" i="1"/>
  <c r="M693" i="1"/>
  <c r="O692" i="1"/>
  <c r="O692" i="1" a="1"/>
  <c r="N692" i="1"/>
  <c r="M692" i="1"/>
  <c r="O691" i="1" a="1"/>
  <c r="O691" i="1" s="1"/>
  <c r="N691" i="1"/>
  <c r="M691" i="1"/>
  <c r="O690" i="1"/>
  <c r="O690" i="1" a="1"/>
  <c r="N690" i="1"/>
  <c r="M690" i="1"/>
  <c r="O689" i="1" a="1"/>
  <c r="O689" i="1" s="1"/>
  <c r="N689" i="1"/>
  <c r="M689" i="1"/>
  <c r="O688" i="1"/>
  <c r="O688" i="1" a="1"/>
  <c r="N688" i="1"/>
  <c r="M688" i="1"/>
  <c r="O687" i="1" a="1"/>
  <c r="O687" i="1" s="1"/>
  <c r="N687" i="1"/>
  <c r="M687" i="1"/>
  <c r="O686" i="1" a="1"/>
  <c r="O686" i="1" s="1"/>
  <c r="N686" i="1"/>
  <c r="M686" i="1"/>
  <c r="O685" i="1"/>
  <c r="O685" i="1" a="1"/>
  <c r="N685" i="1"/>
  <c r="M685" i="1"/>
  <c r="O684" i="1" a="1"/>
  <c r="O684" i="1" s="1"/>
  <c r="N684" i="1"/>
  <c r="M684" i="1"/>
  <c r="O683" i="1"/>
  <c r="O683" i="1" a="1"/>
  <c r="N683" i="1"/>
  <c r="M683" i="1"/>
  <c r="O682" i="1"/>
  <c r="O682" i="1" a="1"/>
  <c r="N682" i="1"/>
  <c r="M682" i="1"/>
  <c r="O681" i="1" a="1"/>
  <c r="O681" i="1" s="1"/>
  <c r="N681" i="1"/>
  <c r="M681" i="1"/>
  <c r="O680" i="1" a="1"/>
  <c r="O680" i="1" s="1"/>
  <c r="N680" i="1"/>
  <c r="M680" i="1"/>
  <c r="O679" i="1"/>
  <c r="O679" i="1" a="1"/>
  <c r="N679" i="1"/>
  <c r="M679" i="1"/>
  <c r="O678" i="1"/>
  <c r="O678" i="1" a="1"/>
  <c r="N678" i="1"/>
  <c r="M678" i="1"/>
  <c r="O677" i="1" a="1"/>
  <c r="O677" i="1" s="1"/>
  <c r="N677" i="1"/>
  <c r="M677" i="1"/>
  <c r="O676" i="1" a="1"/>
  <c r="O676" i="1" s="1"/>
  <c r="N676" i="1"/>
  <c r="M676" i="1"/>
  <c r="O675" i="1"/>
  <c r="O675" i="1" a="1"/>
  <c r="N675" i="1"/>
  <c r="M675" i="1"/>
  <c r="O674" i="1" a="1"/>
  <c r="O674" i="1" s="1"/>
  <c r="N674" i="1"/>
  <c r="M674" i="1"/>
  <c r="O673" i="1" a="1"/>
  <c r="O673" i="1" s="1"/>
  <c r="N673" i="1"/>
  <c r="M673" i="1"/>
  <c r="O672" i="1" a="1"/>
  <c r="O672" i="1" s="1"/>
  <c r="N672" i="1"/>
  <c r="M672" i="1"/>
  <c r="O671" i="1"/>
  <c r="O671" i="1" a="1"/>
  <c r="N671" i="1"/>
  <c r="M671" i="1"/>
  <c r="O670" i="1" a="1"/>
  <c r="O670" i="1" s="1"/>
  <c r="N670" i="1"/>
  <c r="M670" i="1"/>
  <c r="O669" i="1" a="1"/>
  <c r="O669" i="1" s="1"/>
  <c r="N669" i="1"/>
  <c r="M669" i="1"/>
  <c r="O668" i="1"/>
  <c r="O668" i="1" a="1"/>
  <c r="N668" i="1"/>
  <c r="M668" i="1"/>
  <c r="O667" i="1" a="1"/>
  <c r="O667" i="1" s="1"/>
  <c r="N667" i="1"/>
  <c r="M667" i="1"/>
  <c r="O666" i="1"/>
  <c r="O666" i="1" a="1"/>
  <c r="N666" i="1"/>
  <c r="M666" i="1"/>
  <c r="O665" i="1"/>
  <c r="O665" i="1" a="1"/>
  <c r="N665" i="1"/>
  <c r="M665" i="1"/>
  <c r="O664" i="1"/>
  <c r="O664" i="1" a="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c r="O658" i="1" a="1"/>
  <c r="N658" i="1"/>
  <c r="M658" i="1"/>
  <c r="O657" i="1"/>
  <c r="O657" i="1" a="1"/>
  <c r="N657" i="1"/>
  <c r="M657" i="1"/>
  <c r="O656" i="1" a="1"/>
  <c r="O656" i="1" s="1"/>
  <c r="N656" i="1"/>
  <c r="M656" i="1"/>
  <c r="O655" i="1"/>
  <c r="O655" i="1" a="1"/>
  <c r="N655" i="1"/>
  <c r="M655" i="1"/>
  <c r="O654" i="1" a="1"/>
  <c r="O654" i="1" s="1"/>
  <c r="N654" i="1"/>
  <c r="M654" i="1"/>
  <c r="O653" i="1"/>
  <c r="O653" i="1" a="1"/>
  <c r="N653" i="1"/>
  <c r="M653" i="1"/>
  <c r="O652" i="1"/>
  <c r="O652" i="1" a="1"/>
  <c r="N652" i="1"/>
  <c r="M652" i="1"/>
  <c r="O651" i="1" a="1"/>
  <c r="O651" i="1" s="1"/>
  <c r="N651" i="1"/>
  <c r="M651" i="1"/>
  <c r="O650" i="1"/>
  <c r="O650" i="1" a="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c r="O643" i="1" a="1"/>
  <c r="N643" i="1"/>
  <c r="M643" i="1"/>
  <c r="O642" i="1" a="1"/>
  <c r="O642" i="1" s="1"/>
  <c r="N642" i="1"/>
  <c r="M642" i="1"/>
  <c r="O641" i="1" a="1"/>
  <c r="O641" i="1" s="1"/>
  <c r="N641" i="1"/>
  <c r="M641" i="1"/>
  <c r="O640" i="1"/>
  <c r="O640" i="1" a="1"/>
  <c r="N640" i="1"/>
  <c r="M640" i="1"/>
  <c r="O639" i="1" a="1"/>
  <c r="O639" i="1" s="1"/>
  <c r="N639" i="1"/>
  <c r="M639" i="1"/>
  <c r="O638" i="1" a="1"/>
  <c r="O638" i="1" s="1"/>
  <c r="N638" i="1"/>
  <c r="M638" i="1"/>
  <c r="O637" i="1"/>
  <c r="O637" i="1" a="1"/>
  <c r="N637" i="1"/>
  <c r="M637" i="1"/>
  <c r="O636" i="1"/>
  <c r="O636" i="1" a="1"/>
  <c r="N636" i="1"/>
  <c r="M636" i="1"/>
  <c r="O635" i="1" a="1"/>
  <c r="O635" i="1" s="1"/>
  <c r="N635" i="1"/>
  <c r="M635" i="1"/>
  <c r="O634" i="1" a="1"/>
  <c r="O634" i="1" s="1"/>
  <c r="N634" i="1"/>
  <c r="M634" i="1"/>
  <c r="O633" i="1"/>
  <c r="O633" i="1" a="1"/>
  <c r="N633" i="1"/>
  <c r="M633" i="1"/>
  <c r="O632" i="1" a="1"/>
  <c r="O632" i="1" s="1"/>
  <c r="N632" i="1"/>
  <c r="M632" i="1"/>
  <c r="O631" i="1" a="1"/>
  <c r="O631" i="1" s="1"/>
  <c r="N631" i="1"/>
  <c r="M631" i="1"/>
  <c r="O630" i="1" a="1"/>
  <c r="O630" i="1" s="1"/>
  <c r="N630" i="1"/>
  <c r="M630" i="1"/>
  <c r="O629" i="1"/>
  <c r="O629" i="1" a="1"/>
  <c r="N629" i="1"/>
  <c r="M629" i="1"/>
  <c r="O628" i="1" a="1"/>
  <c r="O628" i="1" s="1"/>
  <c r="N628" i="1"/>
  <c r="M628" i="1"/>
  <c r="O627" i="1"/>
  <c r="O627" i="1" a="1"/>
  <c r="N627" i="1"/>
  <c r="M627" i="1"/>
  <c r="O626" i="1" a="1"/>
  <c r="O626" i="1" s="1"/>
  <c r="N626" i="1"/>
  <c r="M626" i="1"/>
  <c r="O625" i="1" a="1"/>
  <c r="O625" i="1" s="1"/>
  <c r="N625" i="1"/>
  <c r="M625" i="1"/>
  <c r="O624" i="1"/>
  <c r="O624" i="1" a="1"/>
  <c r="N624" i="1"/>
  <c r="M624" i="1"/>
  <c r="O623" i="1" a="1"/>
  <c r="O623" i="1" s="1"/>
  <c r="N623" i="1"/>
  <c r="M623" i="1"/>
  <c r="O622" i="1"/>
  <c r="O622" i="1" a="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c r="O615" i="1" a="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c r="O608" i="1" a="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c r="O601" i="1" a="1"/>
  <c r="N601" i="1"/>
  <c r="M601" i="1"/>
  <c r="O600" i="1" a="1"/>
  <c r="O600" i="1" s="1"/>
  <c r="N600" i="1"/>
  <c r="M600" i="1"/>
  <c r="O599" i="1"/>
  <c r="O599" i="1" a="1"/>
  <c r="N599" i="1"/>
  <c r="M599" i="1"/>
  <c r="O598" i="1"/>
  <c r="O598" i="1" a="1"/>
  <c r="N598" i="1"/>
  <c r="M598" i="1"/>
  <c r="O597" i="1" a="1"/>
  <c r="O597" i="1" s="1"/>
  <c r="N597" i="1"/>
  <c r="M597" i="1"/>
  <c r="O596" i="1"/>
  <c r="O596" i="1" a="1"/>
  <c r="N596" i="1"/>
  <c r="M596" i="1"/>
  <c r="O595" i="1"/>
  <c r="O595" i="1" a="1"/>
  <c r="N595" i="1"/>
  <c r="M595" i="1"/>
  <c r="O594" i="1"/>
  <c r="O594" i="1" a="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c r="O581" i="1" a="1"/>
  <c r="N581" i="1"/>
  <c r="M581" i="1"/>
  <c r="O580" i="1"/>
  <c r="O580" i="1" a="1"/>
  <c r="N580" i="1"/>
  <c r="M580" i="1"/>
  <c r="O579" i="1" a="1"/>
  <c r="O579" i="1" s="1"/>
  <c r="N579" i="1"/>
  <c r="M579" i="1"/>
  <c r="O578" i="1"/>
  <c r="O578" i="1" a="1"/>
  <c r="N578" i="1"/>
  <c r="M578" i="1"/>
  <c r="O577" i="1" a="1"/>
  <c r="O577" i="1" s="1"/>
  <c r="N577" i="1"/>
  <c r="M577" i="1"/>
  <c r="O576" i="1" a="1"/>
  <c r="O576" i="1" s="1"/>
  <c r="N576" i="1"/>
  <c r="M576" i="1"/>
  <c r="O575" i="1"/>
  <c r="O575" i="1" a="1"/>
  <c r="N575" i="1"/>
  <c r="M575" i="1"/>
  <c r="O574" i="1" a="1"/>
  <c r="O574" i="1" s="1"/>
  <c r="N574" i="1"/>
  <c r="M574" i="1"/>
  <c r="O573" i="1"/>
  <c r="O573" i="1" a="1"/>
  <c r="N573" i="1"/>
  <c r="M573" i="1"/>
  <c r="O572" i="1" a="1"/>
  <c r="O572" i="1" s="1"/>
  <c r="N572" i="1"/>
  <c r="M572" i="1"/>
  <c r="O571" i="1"/>
  <c r="O571" i="1" a="1"/>
  <c r="N571" i="1"/>
  <c r="M571" i="1"/>
  <c r="O570" i="1"/>
  <c r="O570" i="1" a="1"/>
  <c r="N570" i="1"/>
  <c r="M570" i="1"/>
  <c r="O569" i="1"/>
  <c r="O569" i="1" a="1"/>
  <c r="N569" i="1"/>
  <c r="M569" i="1"/>
  <c r="O568" i="1" a="1"/>
  <c r="O568" i="1" s="1"/>
  <c r="N568" i="1"/>
  <c r="M568" i="1"/>
  <c r="O567" i="1" a="1"/>
  <c r="O567" i="1" s="1"/>
  <c r="N567" i="1"/>
  <c r="M567" i="1"/>
  <c r="O566" i="1"/>
  <c r="O566" i="1" a="1"/>
  <c r="N566" i="1"/>
  <c r="M566" i="1"/>
  <c r="O565" i="1" a="1"/>
  <c r="O565" i="1" s="1"/>
  <c r="N565" i="1"/>
  <c r="M565" i="1"/>
  <c r="O564" i="1" a="1"/>
  <c r="O564" i="1" s="1"/>
  <c r="N564" i="1"/>
  <c r="M564" i="1"/>
  <c r="O563" i="1"/>
  <c r="O563" i="1" a="1"/>
  <c r="N563" i="1"/>
  <c r="M563" i="1"/>
  <c r="O562" i="1" a="1"/>
  <c r="O562" i="1" s="1"/>
  <c r="N562" i="1"/>
  <c r="M562" i="1"/>
  <c r="O561" i="1" a="1"/>
  <c r="O561" i="1" s="1"/>
  <c r="N561" i="1"/>
  <c r="M561" i="1"/>
  <c r="O560" i="1"/>
  <c r="O560" i="1" a="1"/>
  <c r="N560" i="1"/>
  <c r="M560" i="1"/>
  <c r="O559" i="1"/>
  <c r="O559" i="1" a="1"/>
  <c r="N559" i="1"/>
  <c r="M559" i="1"/>
  <c r="O558" i="1" a="1"/>
  <c r="O558" i="1" s="1"/>
  <c r="N558" i="1"/>
  <c r="M558" i="1"/>
  <c r="O557" i="1"/>
  <c r="O557" i="1" a="1"/>
  <c r="N557" i="1"/>
  <c r="M557" i="1"/>
  <c r="O556" i="1"/>
  <c r="O556" i="1" a="1"/>
  <c r="N556" i="1"/>
  <c r="M556" i="1"/>
  <c r="O555" i="1" a="1"/>
  <c r="O555" i="1" s="1"/>
  <c r="N555" i="1"/>
  <c r="M555" i="1"/>
  <c r="O554" i="1" a="1"/>
  <c r="O554" i="1" s="1"/>
  <c r="N554" i="1"/>
  <c r="M554" i="1"/>
  <c r="O553" i="1" a="1"/>
  <c r="O553" i="1" s="1"/>
  <c r="N553" i="1"/>
  <c r="M553" i="1"/>
  <c r="O552" i="1"/>
  <c r="O552" i="1" a="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c r="O545" i="1" a="1"/>
  <c r="N545" i="1"/>
  <c r="M545" i="1"/>
  <c r="O544" i="1" a="1"/>
  <c r="O544" i="1" s="1"/>
  <c r="N544" i="1"/>
  <c r="M544" i="1"/>
  <c r="O543" i="1"/>
  <c r="O543" i="1" a="1"/>
  <c r="N543" i="1"/>
  <c r="M543" i="1"/>
  <c r="O542" i="1" a="1"/>
  <c r="O542" i="1" s="1"/>
  <c r="N542" i="1"/>
  <c r="M542" i="1"/>
  <c r="O541" i="1"/>
  <c r="O541" i="1" a="1"/>
  <c r="N541" i="1"/>
  <c r="M541" i="1"/>
  <c r="O540" i="1"/>
  <c r="O540" i="1" a="1"/>
  <c r="N540" i="1"/>
  <c r="M540" i="1"/>
  <c r="O539" i="1" a="1"/>
  <c r="O539" i="1" s="1"/>
  <c r="N539" i="1"/>
  <c r="M539" i="1"/>
  <c r="O538" i="1"/>
  <c r="O538" i="1" a="1"/>
  <c r="N538" i="1"/>
  <c r="M538" i="1"/>
  <c r="O537" i="1" a="1"/>
  <c r="O537" i="1" s="1"/>
  <c r="N537" i="1"/>
  <c r="M537" i="1"/>
  <c r="O536" i="1" a="1"/>
  <c r="O536" i="1" s="1"/>
  <c r="N536" i="1"/>
  <c r="M536" i="1"/>
  <c r="O535" i="1" a="1"/>
  <c r="O535" i="1" s="1"/>
  <c r="N535" i="1"/>
  <c r="M535" i="1"/>
  <c r="O534" i="1" a="1"/>
  <c r="O534" i="1" s="1"/>
  <c r="N534" i="1"/>
  <c r="M534" i="1"/>
  <c r="O533" i="1"/>
  <c r="O533" i="1" a="1"/>
  <c r="N533" i="1"/>
  <c r="M533" i="1"/>
  <c r="O532" i="1" a="1"/>
  <c r="O532" i="1" s="1"/>
  <c r="N532" i="1"/>
  <c r="M532" i="1"/>
  <c r="O531" i="1"/>
  <c r="O531" i="1" a="1"/>
  <c r="N531" i="1"/>
  <c r="M531" i="1"/>
  <c r="O530" i="1" a="1"/>
  <c r="O530" i="1" s="1"/>
  <c r="N530" i="1"/>
  <c r="M530" i="1"/>
  <c r="O529" i="1" a="1"/>
  <c r="O529" i="1" s="1"/>
  <c r="N529" i="1"/>
  <c r="M529" i="1"/>
  <c r="O528" i="1"/>
  <c r="O528" i="1" a="1"/>
  <c r="N528" i="1"/>
  <c r="M528" i="1"/>
  <c r="O527" i="1" a="1"/>
  <c r="O527" i="1" s="1"/>
  <c r="N527" i="1"/>
  <c r="M527" i="1"/>
  <c r="O526" i="1"/>
  <c r="O526" i="1" a="1"/>
  <c r="N526" i="1"/>
  <c r="M526" i="1"/>
  <c r="O525" i="1" a="1"/>
  <c r="O525" i="1" s="1"/>
  <c r="N525" i="1"/>
  <c r="M525" i="1"/>
  <c r="O524" i="1"/>
  <c r="O524" i="1" a="1"/>
  <c r="N524" i="1"/>
  <c r="M524" i="1"/>
  <c r="O523" i="1" a="1"/>
  <c r="O523" i="1" s="1"/>
  <c r="N523" i="1"/>
  <c r="M523" i="1"/>
  <c r="O522" i="1" a="1"/>
  <c r="O522" i="1" s="1"/>
  <c r="N522" i="1"/>
  <c r="M522" i="1"/>
  <c r="O521" i="1"/>
  <c r="O521" i="1" a="1"/>
  <c r="N521" i="1"/>
  <c r="M521" i="1"/>
  <c r="O520" i="1" a="1"/>
  <c r="O520" i="1" s="1"/>
  <c r="N520" i="1"/>
  <c r="M520" i="1"/>
  <c r="O519" i="1" a="1"/>
  <c r="O519" i="1" s="1"/>
  <c r="N519" i="1"/>
  <c r="M519" i="1"/>
  <c r="O518" i="1" a="1"/>
  <c r="O518" i="1" s="1"/>
  <c r="N518" i="1"/>
  <c r="M518" i="1"/>
  <c r="O517" i="1"/>
  <c r="O517" i="1" a="1"/>
  <c r="N517" i="1"/>
  <c r="M517" i="1"/>
  <c r="O516" i="1" a="1"/>
  <c r="O516" i="1" s="1"/>
  <c r="N516" i="1"/>
  <c r="M516" i="1"/>
  <c r="O515" i="1"/>
  <c r="O515" i="1" a="1"/>
  <c r="N515" i="1"/>
  <c r="M515" i="1"/>
  <c r="O514" i="1" a="1"/>
  <c r="O514" i="1" s="1"/>
  <c r="N514" i="1"/>
  <c r="M514" i="1"/>
  <c r="O513" i="1" a="1"/>
  <c r="O513" i="1" s="1"/>
  <c r="N513" i="1"/>
  <c r="M513" i="1"/>
  <c r="O512" i="1"/>
  <c r="O512" i="1" a="1"/>
  <c r="N512" i="1"/>
  <c r="M512" i="1"/>
  <c r="O511" i="1"/>
  <c r="O511" i="1" a="1"/>
  <c r="N511" i="1"/>
  <c r="M511" i="1"/>
  <c r="O510" i="1"/>
  <c r="O510" i="1" a="1"/>
  <c r="N510" i="1"/>
  <c r="M510" i="1"/>
  <c r="O509" i="1" a="1"/>
  <c r="O509" i="1" s="1"/>
  <c r="N509" i="1"/>
  <c r="M509" i="1"/>
  <c r="O508" i="1" a="1"/>
  <c r="O508" i="1" s="1"/>
  <c r="N508" i="1"/>
  <c r="M508" i="1"/>
  <c r="O507" i="1"/>
  <c r="O507" i="1" a="1"/>
  <c r="N507" i="1"/>
  <c r="M507" i="1"/>
  <c r="O506" i="1" a="1"/>
  <c r="O506" i="1" s="1"/>
  <c r="N506" i="1"/>
  <c r="M506" i="1"/>
  <c r="O505" i="1" a="1"/>
  <c r="O505" i="1" s="1"/>
  <c r="N505" i="1"/>
  <c r="M505" i="1"/>
  <c r="O504" i="1" a="1"/>
  <c r="O504" i="1" s="1"/>
  <c r="N504" i="1"/>
  <c r="M504" i="1"/>
  <c r="O503" i="1"/>
  <c r="O503" i="1" a="1"/>
  <c r="N503" i="1"/>
  <c r="M503" i="1"/>
  <c r="O502" i="1" a="1"/>
  <c r="O502" i="1" s="1"/>
  <c r="N502" i="1"/>
  <c r="M502" i="1"/>
  <c r="O501" i="1" a="1"/>
  <c r="O501" i="1" s="1"/>
  <c r="N501" i="1"/>
  <c r="M501" i="1"/>
  <c r="O500" i="1" a="1"/>
  <c r="O500" i="1" s="1"/>
  <c r="N500" i="1"/>
  <c r="M500" i="1"/>
  <c r="O499" i="1"/>
  <c r="O499" i="1" a="1"/>
  <c r="N499" i="1"/>
  <c r="M499" i="1"/>
  <c r="O498" i="1" a="1"/>
  <c r="O498" i="1" s="1"/>
  <c r="N498" i="1"/>
  <c r="M498" i="1"/>
  <c r="O497" i="1"/>
  <c r="O497" i="1" a="1"/>
  <c r="N497" i="1"/>
  <c r="M497" i="1"/>
  <c r="O496" i="1"/>
  <c r="O496" i="1" a="1"/>
  <c r="N496" i="1"/>
  <c r="M496" i="1"/>
  <c r="O495" i="1" a="1"/>
  <c r="O495" i="1" s="1"/>
  <c r="N495" i="1"/>
  <c r="M495" i="1"/>
  <c r="O494" i="1"/>
  <c r="O494" i="1" a="1"/>
  <c r="N494" i="1"/>
  <c r="M494" i="1"/>
  <c r="O493" i="1" a="1"/>
  <c r="O493" i="1" s="1"/>
  <c r="N493" i="1"/>
  <c r="M493" i="1"/>
  <c r="O492" i="1" a="1"/>
  <c r="O492" i="1" s="1"/>
  <c r="N492" i="1"/>
  <c r="M492" i="1"/>
  <c r="O491" i="1"/>
  <c r="O491" i="1" a="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c r="O483" i="1" a="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c r="O476" i="1" a="1"/>
  <c r="N476" i="1"/>
  <c r="M476" i="1"/>
  <c r="O475" i="1"/>
  <c r="O475" i="1" a="1"/>
  <c r="N475" i="1"/>
  <c r="M475" i="1"/>
  <c r="O474" i="1" a="1"/>
  <c r="O474" i="1" s="1"/>
  <c r="N474" i="1"/>
  <c r="M474" i="1"/>
  <c r="O473" i="1" a="1"/>
  <c r="O473" i="1" s="1"/>
  <c r="N473" i="1"/>
  <c r="M473" i="1"/>
  <c r="O472" i="1"/>
  <c r="O472" i="1" a="1"/>
  <c r="N472" i="1"/>
  <c r="M472" i="1"/>
  <c r="O471" i="1" a="1"/>
  <c r="O471" i="1" s="1"/>
  <c r="N471" i="1"/>
  <c r="M471" i="1"/>
  <c r="O470" i="1"/>
  <c r="O470" i="1" a="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c r="O461" i="1" a="1"/>
  <c r="N461" i="1"/>
  <c r="M461" i="1"/>
  <c r="O460" i="1" a="1"/>
  <c r="O460" i="1" s="1"/>
  <c r="N460" i="1"/>
  <c r="M460" i="1"/>
  <c r="O459" i="1" a="1"/>
  <c r="O459" i="1" s="1"/>
  <c r="N459" i="1"/>
  <c r="M459" i="1"/>
  <c r="O458" i="1" a="1"/>
  <c r="O458" i="1" s="1"/>
  <c r="N458" i="1"/>
  <c r="M458" i="1"/>
  <c r="O457" i="1"/>
  <c r="O457" i="1" a="1"/>
  <c r="N457" i="1"/>
  <c r="M457" i="1"/>
  <c r="O456" i="1" a="1"/>
  <c r="O456" i="1" s="1"/>
  <c r="N456" i="1"/>
  <c r="M456" i="1"/>
  <c r="O455" i="1" a="1"/>
  <c r="O455" i="1" s="1"/>
  <c r="N455" i="1"/>
  <c r="M455" i="1"/>
  <c r="O454" i="1"/>
  <c r="O454" i="1" a="1"/>
  <c r="N454" i="1"/>
  <c r="M454" i="1"/>
  <c r="O453" i="1" a="1"/>
  <c r="O453" i="1" s="1"/>
  <c r="N453" i="1"/>
  <c r="M453" i="1"/>
  <c r="O452" i="1" a="1"/>
  <c r="O452" i="1" s="1"/>
  <c r="N452" i="1"/>
  <c r="M452" i="1"/>
  <c r="O451" i="1" a="1"/>
  <c r="O451" i="1" s="1"/>
  <c r="N451" i="1"/>
  <c r="M451" i="1"/>
  <c r="O450" i="1" a="1"/>
  <c r="O450" i="1" s="1"/>
  <c r="N450" i="1"/>
  <c r="M450" i="1"/>
  <c r="O449" i="1"/>
  <c r="O449" i="1" a="1"/>
  <c r="N449" i="1"/>
  <c r="M449" i="1"/>
  <c r="O448" i="1" a="1"/>
  <c r="O448" i="1" s="1"/>
  <c r="N448" i="1"/>
  <c r="M448" i="1"/>
  <c r="O447" i="1"/>
  <c r="O447" i="1" a="1"/>
  <c r="N447" i="1"/>
  <c r="M447" i="1"/>
  <c r="O446" i="1" a="1"/>
  <c r="O446" i="1" s="1"/>
  <c r="N446" i="1"/>
  <c r="M446" i="1"/>
  <c r="O445" i="1" a="1"/>
  <c r="O445" i="1" s="1"/>
  <c r="N445" i="1"/>
  <c r="M445" i="1"/>
  <c r="O444" i="1"/>
  <c r="O444" i="1" a="1"/>
  <c r="N444" i="1"/>
  <c r="M444" i="1"/>
  <c r="O443" i="1" a="1"/>
  <c r="O443" i="1" s="1"/>
  <c r="N443" i="1"/>
  <c r="M443" i="1"/>
  <c r="O442" i="1" a="1"/>
  <c r="O442" i="1" s="1"/>
  <c r="N442" i="1"/>
  <c r="M442" i="1"/>
  <c r="O441" i="1"/>
  <c r="O441" i="1" a="1"/>
  <c r="N441" i="1"/>
  <c r="M441" i="1"/>
  <c r="O440" i="1"/>
  <c r="O440" i="1" a="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c r="O433" i="1" a="1"/>
  <c r="N433" i="1"/>
  <c r="M433" i="1"/>
  <c r="O432" i="1" a="1"/>
  <c r="O432" i="1" s="1"/>
  <c r="N432" i="1"/>
  <c r="M432" i="1"/>
  <c r="O431" i="1"/>
  <c r="O431" i="1" a="1"/>
  <c r="N431" i="1"/>
  <c r="M431" i="1"/>
  <c r="O430" i="1"/>
  <c r="O430" i="1" a="1"/>
  <c r="N430" i="1"/>
  <c r="M430" i="1"/>
  <c r="O429" i="1" a="1"/>
  <c r="O429" i="1" s="1"/>
  <c r="N429" i="1"/>
  <c r="M429" i="1"/>
  <c r="O428" i="1"/>
  <c r="O428" i="1" a="1"/>
  <c r="N428" i="1"/>
  <c r="M428" i="1"/>
  <c r="O427" i="1" a="1"/>
  <c r="O427" i="1" s="1"/>
  <c r="N427" i="1"/>
  <c r="M427" i="1"/>
  <c r="O426" i="1"/>
  <c r="O426" i="1" a="1"/>
  <c r="N426" i="1"/>
  <c r="M426" i="1"/>
  <c r="O425" i="1" a="1"/>
  <c r="O425" i="1" s="1"/>
  <c r="N425" i="1"/>
  <c r="M425" i="1"/>
  <c r="O424" i="1" a="1"/>
  <c r="O424" i="1" s="1"/>
  <c r="N424" i="1"/>
  <c r="M424" i="1"/>
  <c r="O423" i="1"/>
  <c r="O423" i="1" a="1"/>
  <c r="N423" i="1"/>
  <c r="M423" i="1"/>
  <c r="O422" i="1" a="1"/>
  <c r="O422" i="1" s="1"/>
  <c r="N422" i="1"/>
  <c r="M422" i="1"/>
  <c r="O421" i="1"/>
  <c r="O421" i="1" a="1"/>
  <c r="N421" i="1"/>
  <c r="M421" i="1"/>
  <c r="O420" i="1"/>
  <c r="O420" i="1" a="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c r="O414" i="1" a="1"/>
  <c r="N414" i="1"/>
  <c r="M414" i="1"/>
  <c r="O413" i="1" a="1"/>
  <c r="O413" i="1" s="1"/>
  <c r="N413" i="1"/>
  <c r="M413" i="1"/>
  <c r="O412" i="1"/>
  <c r="O412" i="1" a="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c r="O405" i="1" a="1"/>
  <c r="N405" i="1"/>
  <c r="M405" i="1"/>
  <c r="O404" i="1" a="1"/>
  <c r="O404" i="1" s="1"/>
  <c r="N404" i="1"/>
  <c r="M404" i="1"/>
  <c r="O403" i="1"/>
  <c r="O403" i="1" a="1"/>
  <c r="N403" i="1"/>
  <c r="M403" i="1"/>
  <c r="O402" i="1"/>
  <c r="O402" i="1" a="1"/>
  <c r="N402" i="1"/>
  <c r="M402" i="1"/>
  <c r="O401" i="1" a="1"/>
  <c r="O401" i="1" s="1"/>
  <c r="N401" i="1"/>
  <c r="M401" i="1"/>
  <c r="O400" i="1"/>
  <c r="O400" i="1" a="1"/>
  <c r="N400" i="1"/>
  <c r="M400" i="1"/>
  <c r="O399" i="1"/>
  <c r="O399" i="1" a="1"/>
  <c r="N399" i="1"/>
  <c r="M399" i="1"/>
  <c r="O398" i="1"/>
  <c r="O398" i="1" a="1"/>
  <c r="N398" i="1"/>
  <c r="M398" i="1"/>
  <c r="O397" i="1" a="1"/>
  <c r="O397" i="1" s="1"/>
  <c r="N397" i="1"/>
  <c r="M397" i="1"/>
  <c r="O396" i="1"/>
  <c r="O396" i="1" a="1"/>
  <c r="N396" i="1"/>
  <c r="M396" i="1"/>
  <c r="O395" i="1" a="1"/>
  <c r="O395" i="1" s="1"/>
  <c r="N395" i="1"/>
  <c r="M395" i="1"/>
  <c r="O394" i="1" a="1"/>
  <c r="O394" i="1" s="1"/>
  <c r="N394" i="1"/>
  <c r="M394" i="1"/>
  <c r="O393" i="1" a="1"/>
  <c r="O393" i="1" s="1"/>
  <c r="N393" i="1"/>
  <c r="M393" i="1"/>
  <c r="O392" i="1" a="1"/>
  <c r="O392" i="1" s="1"/>
  <c r="N392" i="1"/>
  <c r="M392" i="1"/>
  <c r="O391" i="1"/>
  <c r="O391" i="1" a="1"/>
  <c r="N391" i="1"/>
  <c r="M391" i="1"/>
  <c r="O390" i="1" a="1"/>
  <c r="O390" i="1" s="1"/>
  <c r="N390" i="1"/>
  <c r="M390" i="1"/>
  <c r="O389" i="1" a="1"/>
  <c r="O389" i="1" s="1"/>
  <c r="N389" i="1"/>
  <c r="M389" i="1"/>
  <c r="O388" i="1"/>
  <c r="O388" i="1" a="1"/>
  <c r="N388" i="1"/>
  <c r="M388" i="1"/>
  <c r="O387" i="1" a="1"/>
  <c r="O387" i="1" s="1"/>
  <c r="N387" i="1"/>
  <c r="M387" i="1"/>
  <c r="O386" i="1"/>
  <c r="O386" i="1" a="1"/>
  <c r="N386" i="1"/>
  <c r="M386" i="1"/>
  <c r="O385" i="1"/>
  <c r="O385" i="1" a="1"/>
  <c r="N385" i="1"/>
  <c r="M385" i="1"/>
  <c r="O384" i="1"/>
  <c r="O384" i="1" a="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c r="O374" i="1" a="1"/>
  <c r="N374" i="1"/>
  <c r="M374" i="1"/>
  <c r="O373" i="1"/>
  <c r="O373" i="1" a="1"/>
  <c r="N373" i="1"/>
  <c r="M373" i="1"/>
  <c r="O372" i="1" a="1"/>
  <c r="O372" i="1" s="1"/>
  <c r="N372" i="1"/>
  <c r="M372" i="1"/>
  <c r="O371" i="1"/>
  <c r="O371" i="1" a="1"/>
  <c r="N371" i="1"/>
  <c r="M371" i="1"/>
  <c r="O370" i="1"/>
  <c r="O370" i="1" a="1"/>
  <c r="N370" i="1"/>
  <c r="M370" i="1"/>
  <c r="O369" i="1" a="1"/>
  <c r="O369" i="1" s="1"/>
  <c r="N369" i="1"/>
  <c r="M369" i="1"/>
  <c r="O368" i="1" a="1"/>
  <c r="O368" i="1" s="1"/>
  <c r="N368" i="1"/>
  <c r="M368" i="1"/>
  <c r="O367" i="1" a="1"/>
  <c r="O367" i="1" s="1"/>
  <c r="N367" i="1"/>
  <c r="M367" i="1"/>
  <c r="O366" i="1"/>
  <c r="O366" i="1" a="1"/>
  <c r="N366" i="1"/>
  <c r="M366" i="1"/>
  <c r="O365" i="1" a="1"/>
  <c r="O365" i="1" s="1"/>
  <c r="N365" i="1"/>
  <c r="M365" i="1"/>
  <c r="O364" i="1" a="1"/>
  <c r="O364" i="1" s="1"/>
  <c r="N364" i="1"/>
  <c r="M364" i="1"/>
  <c r="O363" i="1"/>
  <c r="O363" i="1" a="1"/>
  <c r="N363" i="1"/>
  <c r="M363" i="1"/>
  <c r="O362" i="1" a="1"/>
  <c r="O362" i="1" s="1"/>
  <c r="N362" i="1"/>
  <c r="M362" i="1"/>
  <c r="O361" i="1"/>
  <c r="O361" i="1" a="1"/>
  <c r="N361" i="1"/>
  <c r="M361" i="1"/>
  <c r="O360" i="1" a="1"/>
  <c r="O360" i="1" s="1"/>
  <c r="N360" i="1"/>
  <c r="M360" i="1"/>
  <c r="O359" i="1" a="1"/>
  <c r="O359" i="1" s="1"/>
  <c r="N359" i="1"/>
  <c r="M359" i="1"/>
  <c r="O358" i="1" a="1"/>
  <c r="O358" i="1" s="1"/>
  <c r="N358" i="1"/>
  <c r="M358" i="1"/>
  <c r="O357" i="1" a="1"/>
  <c r="O357" i="1" s="1"/>
  <c r="N357" i="1"/>
  <c r="M357" i="1"/>
  <c r="O356" i="1"/>
  <c r="O356" i="1" a="1"/>
  <c r="N356" i="1"/>
  <c r="M356" i="1"/>
  <c r="O355" i="1" a="1"/>
  <c r="O355" i="1" s="1"/>
  <c r="N355" i="1"/>
  <c r="M355" i="1"/>
  <c r="O354" i="1" a="1"/>
  <c r="O354" i="1" s="1"/>
  <c r="N354" i="1"/>
  <c r="M354" i="1"/>
  <c r="O353" i="1"/>
  <c r="O353" i="1" a="1"/>
  <c r="N353" i="1"/>
  <c r="M353" i="1"/>
  <c r="O352" i="1" a="1"/>
  <c r="O352" i="1" s="1"/>
  <c r="N352" i="1"/>
  <c r="M352" i="1"/>
  <c r="O351" i="1" a="1"/>
  <c r="O351" i="1" s="1"/>
  <c r="N351" i="1"/>
  <c r="M351" i="1"/>
  <c r="O350" i="1"/>
  <c r="O350" i="1" a="1"/>
  <c r="N350" i="1"/>
  <c r="M350" i="1"/>
  <c r="O349" i="1"/>
  <c r="O349" i="1" a="1"/>
  <c r="N349" i="1"/>
  <c r="M349" i="1"/>
  <c r="O348" i="1" a="1"/>
  <c r="O348" i="1" s="1"/>
  <c r="N348" i="1"/>
  <c r="M348" i="1"/>
  <c r="O347" i="1"/>
  <c r="O347" i="1" a="1"/>
  <c r="N347" i="1"/>
  <c r="M347" i="1"/>
  <c r="O346" i="1" a="1"/>
  <c r="O346" i="1" s="1"/>
  <c r="N346" i="1"/>
  <c r="M346" i="1"/>
  <c r="O345" i="1"/>
  <c r="O345" i="1" a="1"/>
  <c r="N345" i="1"/>
  <c r="M345" i="1"/>
  <c r="O344" i="1"/>
  <c r="O344" i="1" a="1"/>
  <c r="N344" i="1"/>
  <c r="M344" i="1"/>
  <c r="O343" i="1"/>
  <c r="O343" i="1" a="1"/>
  <c r="N343" i="1"/>
  <c r="M343" i="1"/>
  <c r="O342" i="1"/>
  <c r="O342" i="1" a="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c r="O336" i="1" a="1"/>
  <c r="N336" i="1"/>
  <c r="M336" i="1"/>
  <c r="O335" i="1"/>
  <c r="O335" i="1" a="1"/>
  <c r="N335" i="1"/>
  <c r="M335" i="1"/>
  <c r="O334" i="1" a="1"/>
  <c r="O334" i="1" s="1"/>
  <c r="N334" i="1"/>
  <c r="M334" i="1"/>
  <c r="O333" i="1" a="1"/>
  <c r="O333" i="1" s="1"/>
  <c r="N333" i="1"/>
  <c r="M333" i="1"/>
  <c r="O332" i="1"/>
  <c r="O332" i="1" a="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c r="O325" i="1" a="1"/>
  <c r="N325" i="1"/>
  <c r="M325" i="1"/>
  <c r="O324" i="1" a="1"/>
  <c r="O324" i="1" s="1"/>
  <c r="N324" i="1"/>
  <c r="M324" i="1"/>
  <c r="O323" i="1" a="1"/>
  <c r="O323" i="1" s="1"/>
  <c r="N323" i="1"/>
  <c r="M323" i="1"/>
  <c r="O322" i="1" a="1"/>
  <c r="O322" i="1" s="1"/>
  <c r="N322" i="1"/>
  <c r="M322" i="1"/>
  <c r="O321" i="1" a="1"/>
  <c r="O321" i="1" s="1"/>
  <c r="N321" i="1"/>
  <c r="M321" i="1"/>
  <c r="O320" i="1"/>
  <c r="O320" i="1" a="1"/>
  <c r="N320" i="1"/>
  <c r="M320" i="1"/>
  <c r="O319" i="1" a="1"/>
  <c r="O319" i="1" s="1"/>
  <c r="N319" i="1"/>
  <c r="M319" i="1"/>
  <c r="O318" i="1"/>
  <c r="O318" i="1" a="1"/>
  <c r="N318" i="1"/>
  <c r="M318" i="1"/>
  <c r="O317" i="1"/>
  <c r="O317" i="1" a="1"/>
  <c r="N317" i="1"/>
  <c r="M317" i="1"/>
  <c r="O316" i="1" a="1"/>
  <c r="O316" i="1" s="1"/>
  <c r="N316" i="1"/>
  <c r="M316" i="1"/>
  <c r="O315" i="1" a="1"/>
  <c r="O315" i="1" s="1"/>
  <c r="N315" i="1"/>
  <c r="M315" i="1"/>
  <c r="O314" i="1"/>
  <c r="O314" i="1" a="1"/>
  <c r="N314" i="1"/>
  <c r="M314" i="1"/>
  <c r="O313" i="1" a="1"/>
  <c r="O313" i="1" s="1"/>
  <c r="N313" i="1"/>
  <c r="M313" i="1"/>
  <c r="O312" i="1" a="1"/>
  <c r="O312" i="1" s="1"/>
  <c r="N312" i="1"/>
  <c r="M312" i="1"/>
  <c r="O311" i="1"/>
  <c r="O311" i="1" a="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c r="O304" i="1" a="1"/>
  <c r="N304" i="1"/>
  <c r="M304" i="1"/>
  <c r="O303" i="1"/>
  <c r="O303" i="1" a="1"/>
  <c r="N303" i="1"/>
  <c r="M303" i="1"/>
  <c r="O302" i="1"/>
  <c r="O302" i="1" a="1"/>
  <c r="N302" i="1"/>
  <c r="M302" i="1"/>
  <c r="O301" i="1" a="1"/>
  <c r="O301" i="1" s="1"/>
  <c r="N301" i="1"/>
  <c r="M301" i="1"/>
  <c r="O300" i="1" a="1"/>
  <c r="O300" i="1" s="1"/>
  <c r="N300" i="1"/>
  <c r="M300" i="1"/>
  <c r="O299" i="1"/>
  <c r="O299" i="1" a="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c r="O293" i="1" a="1"/>
  <c r="N293" i="1"/>
  <c r="M293" i="1"/>
  <c r="O292" i="1" a="1"/>
  <c r="O292" i="1" s="1"/>
  <c r="N292" i="1"/>
  <c r="M292" i="1"/>
  <c r="O291" i="1" a="1"/>
  <c r="O291" i="1" s="1"/>
  <c r="N291" i="1"/>
  <c r="M291" i="1"/>
  <c r="O290" i="1"/>
  <c r="O290" i="1" a="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c r="O276" i="1" a="1"/>
  <c r="N276" i="1"/>
  <c r="M276" i="1"/>
  <c r="O275" i="1"/>
  <c r="O275" i="1" a="1"/>
  <c r="N275" i="1"/>
  <c r="M275" i="1"/>
  <c r="O274" i="1" a="1"/>
  <c r="O274" i="1" s="1"/>
  <c r="N274" i="1"/>
  <c r="M274" i="1"/>
  <c r="O273" i="1" a="1"/>
  <c r="O273" i="1" s="1"/>
  <c r="N273" i="1"/>
  <c r="M273" i="1"/>
  <c r="O272" i="1"/>
  <c r="O272" i="1" a="1"/>
  <c r="N272" i="1"/>
  <c r="M272" i="1"/>
  <c r="O271" i="1" a="1"/>
  <c r="O271" i="1" s="1"/>
  <c r="N271" i="1"/>
  <c r="M271" i="1"/>
  <c r="O270" i="1" a="1"/>
  <c r="O270" i="1" s="1"/>
  <c r="N270" i="1"/>
  <c r="M270" i="1"/>
  <c r="O269" i="1"/>
  <c r="O269" i="1" a="1"/>
  <c r="N269" i="1"/>
  <c r="M269" i="1"/>
  <c r="O268" i="1"/>
  <c r="O268" i="1" a="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c r="O262" i="1" a="1"/>
  <c r="N262" i="1"/>
  <c r="M262" i="1"/>
  <c r="O261" i="1" a="1"/>
  <c r="O261" i="1" s="1"/>
  <c r="N261" i="1"/>
  <c r="M261" i="1"/>
  <c r="O260" i="1"/>
  <c r="O260" i="1" a="1"/>
  <c r="N260" i="1"/>
  <c r="M260" i="1"/>
  <c r="O259" i="1" a="1"/>
  <c r="O259" i="1" s="1"/>
  <c r="N259" i="1"/>
  <c r="M259" i="1"/>
  <c r="O258" i="1" a="1"/>
  <c r="O258" i="1" s="1"/>
  <c r="N258" i="1"/>
  <c r="M258" i="1"/>
  <c r="O257" i="1"/>
  <c r="O257" i="1" a="1"/>
  <c r="N257" i="1"/>
  <c r="M257" i="1"/>
  <c r="O256" i="1" a="1"/>
  <c r="O256" i="1" s="1"/>
  <c r="N256" i="1"/>
  <c r="M256" i="1"/>
  <c r="O255" i="1" a="1"/>
  <c r="O255" i="1" s="1"/>
  <c r="N255" i="1"/>
  <c r="M255" i="1"/>
  <c r="O254" i="1" a="1"/>
  <c r="O254" i="1" s="1"/>
  <c r="N254" i="1"/>
  <c r="M254" i="1"/>
  <c r="O253" i="1"/>
  <c r="O253" i="1" a="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c r="O237" i="1" a="1"/>
  <c r="N237" i="1"/>
  <c r="M237" i="1"/>
  <c r="O236" i="1" a="1"/>
  <c r="O236" i="1" s="1"/>
  <c r="N236" i="1"/>
  <c r="M236" i="1"/>
  <c r="O235" i="1" a="1"/>
  <c r="O235" i="1" s="1"/>
  <c r="N235" i="1"/>
  <c r="M235" i="1"/>
  <c r="O234" i="1"/>
  <c r="O234" i="1" a="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c r="O220" i="1" a="1"/>
  <c r="N220" i="1"/>
  <c r="M220" i="1"/>
  <c r="O219" i="1"/>
  <c r="O219" i="1" a="1"/>
  <c r="N219" i="1"/>
  <c r="M219" i="1"/>
  <c r="O218" i="1" a="1"/>
  <c r="O218" i="1" s="1"/>
  <c r="N218" i="1"/>
  <c r="M218" i="1"/>
  <c r="O217" i="1" a="1"/>
  <c r="O217" i="1" s="1"/>
  <c r="N217" i="1"/>
  <c r="M217" i="1"/>
  <c r="O216" i="1"/>
  <c r="O216" i="1" a="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c r="O204" i="1" a="1"/>
  <c r="N204" i="1"/>
  <c r="M204" i="1"/>
  <c r="O203" i="1" a="1"/>
  <c r="O203" i="1" s="1"/>
  <c r="N203" i="1"/>
  <c r="M203" i="1"/>
  <c r="O202" i="1" a="1"/>
  <c r="O202" i="1" s="1"/>
  <c r="N202" i="1"/>
  <c r="M202" i="1"/>
  <c r="O201" i="1"/>
  <c r="O201" i="1" a="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c r="O195" i="1" a="1"/>
  <c r="N195" i="1"/>
  <c r="M195" i="1"/>
  <c r="O194" i="1" a="1"/>
  <c r="O194" i="1" s="1"/>
  <c r="N194" i="1"/>
  <c r="M194" i="1"/>
  <c r="O193" i="1" a="1"/>
  <c r="O193" i="1" s="1"/>
  <c r="N193" i="1"/>
  <c r="M193" i="1"/>
  <c r="O192" i="1"/>
  <c r="O192" i="1" a="1"/>
  <c r="N192" i="1"/>
  <c r="M192" i="1"/>
  <c r="O191" i="1" a="1"/>
  <c r="O191" i="1" s="1"/>
  <c r="N191" i="1"/>
  <c r="M191" i="1"/>
  <c r="O190" i="1"/>
  <c r="O190" i="1" a="1"/>
  <c r="N190" i="1"/>
  <c r="M190" i="1"/>
  <c r="O189" i="1" a="1"/>
  <c r="O189" i="1" s="1"/>
  <c r="N189" i="1"/>
  <c r="M189" i="1"/>
  <c r="O188" i="1" a="1"/>
  <c r="O188" i="1" s="1"/>
  <c r="N188" i="1"/>
  <c r="M188" i="1"/>
  <c r="O187" i="1" a="1"/>
  <c r="O187" i="1" s="1"/>
  <c r="N187" i="1"/>
  <c r="M187" i="1"/>
  <c r="O186" i="1" a="1"/>
  <c r="O186" i="1" s="1"/>
  <c r="N186" i="1"/>
  <c r="M186" i="1"/>
  <c r="O185" i="1"/>
  <c r="O185" i="1" a="1"/>
  <c r="N185" i="1"/>
  <c r="M185" i="1"/>
  <c r="O184" i="1" a="1"/>
  <c r="O184" i="1" s="1"/>
  <c r="N184" i="1"/>
  <c r="M184" i="1"/>
  <c r="O183" i="1" a="1"/>
  <c r="O183" i="1" s="1"/>
  <c r="N183" i="1"/>
  <c r="M183" i="1"/>
  <c r="O182" i="1" a="1"/>
  <c r="O182" i="1" s="1"/>
  <c r="N182" i="1"/>
  <c r="M182" i="1"/>
  <c r="O181" i="1" a="1"/>
  <c r="O181" i="1" s="1"/>
  <c r="N181" i="1"/>
  <c r="M181" i="1"/>
  <c r="O180" i="1"/>
  <c r="O180" i="1" a="1"/>
  <c r="N180" i="1"/>
  <c r="M180" i="1"/>
  <c r="O179" i="1" a="1"/>
  <c r="O179" i="1" s="1"/>
  <c r="N179" i="1"/>
  <c r="M179" i="1"/>
  <c r="O178" i="1" a="1"/>
  <c r="O178" i="1" s="1"/>
  <c r="N178" i="1"/>
  <c r="M178" i="1"/>
  <c r="O177" i="1"/>
  <c r="O177" i="1" a="1"/>
  <c r="N177" i="1"/>
  <c r="M177" i="1"/>
  <c r="O176" i="1" a="1"/>
  <c r="O176" i="1" s="1"/>
  <c r="N176" i="1"/>
  <c r="M176" i="1"/>
  <c r="O175" i="1" a="1"/>
  <c r="O175" i="1" s="1"/>
  <c r="N175" i="1"/>
  <c r="M175" i="1"/>
  <c r="O174" i="1"/>
  <c r="O174" i="1" a="1"/>
  <c r="N174" i="1"/>
  <c r="M174" i="1"/>
  <c r="O173" i="1" a="1"/>
  <c r="O173" i="1" s="1"/>
  <c r="N173" i="1"/>
  <c r="M173" i="1"/>
  <c r="O172" i="1" a="1"/>
  <c r="O172" i="1" s="1"/>
  <c r="N172" i="1"/>
  <c r="M172" i="1"/>
  <c r="O171" i="1" a="1"/>
  <c r="O171" i="1" s="1"/>
  <c r="N171" i="1"/>
  <c r="M171" i="1"/>
  <c r="O170" i="1"/>
  <c r="O170" i="1" a="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c r="O162" i="1" a="1"/>
  <c r="N162" i="1"/>
  <c r="M162" i="1"/>
  <c r="O161" i="1" a="1"/>
  <c r="O161" i="1" s="1"/>
  <c r="N161" i="1"/>
  <c r="M161" i="1"/>
  <c r="O160" i="1" a="1"/>
  <c r="O160" i="1" s="1"/>
  <c r="N160" i="1"/>
  <c r="M160" i="1"/>
  <c r="O159" i="1"/>
  <c r="O159" i="1" a="1"/>
  <c r="N159" i="1"/>
  <c r="M159" i="1"/>
  <c r="O158" i="1" a="1"/>
  <c r="O158" i="1" s="1"/>
  <c r="N158" i="1"/>
  <c r="M158" i="1"/>
  <c r="O157" i="1"/>
  <c r="O157" i="1" a="1"/>
  <c r="N157" i="1"/>
  <c r="M157" i="1"/>
  <c r="O156" i="1" a="1"/>
  <c r="O156" i="1" s="1"/>
  <c r="N156" i="1"/>
  <c r="M156" i="1"/>
  <c r="O155" i="1"/>
  <c r="O155" i="1" a="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c r="O142" i="1" a="1"/>
  <c r="N142" i="1"/>
  <c r="M142" i="1"/>
  <c r="O141" i="1" a="1"/>
  <c r="O141" i="1" s="1"/>
  <c r="N141" i="1"/>
  <c r="M141" i="1"/>
  <c r="O140" i="1" a="1"/>
  <c r="O140" i="1" s="1"/>
  <c r="N140" i="1"/>
  <c r="M140" i="1"/>
  <c r="O139" i="1"/>
  <c r="O139" i="1" a="1"/>
  <c r="N139" i="1"/>
  <c r="M139" i="1"/>
  <c r="O138" i="1" a="1"/>
  <c r="O138" i="1" s="1"/>
  <c r="N138" i="1"/>
  <c r="M138" i="1"/>
  <c r="O137" i="1" a="1"/>
  <c r="O137" i="1" s="1"/>
  <c r="N137" i="1"/>
  <c r="M137" i="1"/>
  <c r="O136" i="1"/>
  <c r="O136" i="1" a="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c r="O127" i="1" a="1"/>
  <c r="N127" i="1"/>
  <c r="M127" i="1"/>
  <c r="O126" i="1" a="1"/>
  <c r="O126" i="1" s="1"/>
  <c r="N126" i="1"/>
  <c r="M126" i="1"/>
  <c r="O125" i="1" a="1"/>
  <c r="O125" i="1" s="1"/>
  <c r="N125" i="1"/>
  <c r="M125" i="1"/>
  <c r="O124" i="1"/>
  <c r="O124" i="1" a="1"/>
  <c r="N124" i="1"/>
  <c r="M124" i="1"/>
  <c r="O123" i="1" a="1"/>
  <c r="O123" i="1" s="1"/>
  <c r="N123" i="1"/>
  <c r="M123" i="1"/>
  <c r="O122" i="1"/>
  <c r="O122" i="1" a="1"/>
  <c r="N122" i="1"/>
  <c r="M122" i="1"/>
  <c r="O121" i="1"/>
  <c r="O121" i="1" a="1"/>
  <c r="N121" i="1"/>
  <c r="M121" i="1"/>
  <c r="O120" i="1" a="1"/>
  <c r="O120" i="1" s="1"/>
  <c r="N120" i="1"/>
  <c r="M120" i="1"/>
  <c r="O119" i="1" a="1"/>
  <c r="O119" i="1" s="1"/>
  <c r="N119" i="1"/>
  <c r="M119" i="1"/>
  <c r="O118" i="1"/>
  <c r="O118" i="1" a="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c r="O107" i="1" a="1"/>
  <c r="N107" i="1"/>
  <c r="M107" i="1"/>
  <c r="O106" i="1"/>
  <c r="O106" i="1" a="1"/>
  <c r="N106" i="1"/>
  <c r="M106" i="1"/>
  <c r="O105" i="1" a="1"/>
  <c r="O105" i="1" s="1"/>
  <c r="N105" i="1"/>
  <c r="M105" i="1"/>
  <c r="O104" i="1" a="1"/>
  <c r="O104" i="1" s="1"/>
  <c r="N104" i="1"/>
  <c r="M104" i="1"/>
  <c r="O103" i="1"/>
  <c r="O103" i="1" a="1"/>
  <c r="N103" i="1"/>
  <c r="M103" i="1"/>
  <c r="O102" i="1" a="1"/>
  <c r="O102" i="1" s="1"/>
  <c r="N102" i="1"/>
  <c r="M102" i="1"/>
  <c r="O101" i="1" a="1"/>
  <c r="O101" i="1" s="1"/>
  <c r="N101" i="1"/>
  <c r="M101" i="1"/>
  <c r="O100" i="1" a="1"/>
  <c r="O100" i="1" s="1"/>
  <c r="N100" i="1"/>
  <c r="M100" i="1"/>
  <c r="O99" i="1" a="1"/>
  <c r="O99" i="1" s="1"/>
  <c r="N99" i="1"/>
  <c r="M99" i="1"/>
  <c r="O98" i="1" a="1"/>
  <c r="O98" i="1" s="1"/>
  <c r="N98" i="1"/>
  <c r="M98" i="1"/>
  <c r="O97" i="1"/>
  <c r="O97" i="1" a="1"/>
  <c r="N97" i="1"/>
  <c r="M97" i="1"/>
  <c r="O96" i="1" a="1"/>
  <c r="O96" i="1" s="1"/>
  <c r="N96" i="1"/>
  <c r="M96" i="1"/>
  <c r="O95" i="1" a="1"/>
  <c r="O95" i="1" s="1"/>
  <c r="N95" i="1"/>
  <c r="M95" i="1"/>
  <c r="O94" i="1"/>
  <c r="O94" i="1" a="1"/>
  <c r="N94" i="1"/>
  <c r="M94" i="1"/>
  <c r="O93" i="1" a="1"/>
  <c r="O93" i="1" s="1"/>
  <c r="N93" i="1"/>
  <c r="M93" i="1"/>
  <c r="O92" i="1"/>
  <c r="O92" i="1" a="1"/>
  <c r="N92" i="1"/>
  <c r="M92" i="1"/>
  <c r="O91" i="1" a="1"/>
  <c r="O91" i="1" s="1"/>
  <c r="N91" i="1"/>
  <c r="M91" i="1"/>
  <c r="O90" i="1" a="1"/>
  <c r="O90" i="1" s="1"/>
  <c r="N90" i="1"/>
  <c r="M90" i="1"/>
  <c r="O89" i="1" a="1"/>
  <c r="O89" i="1" s="1"/>
  <c r="N89" i="1"/>
  <c r="M89" i="1"/>
  <c r="O88" i="1" a="1"/>
  <c r="O88" i="1" s="1"/>
  <c r="N88" i="1"/>
  <c r="M88" i="1"/>
  <c r="O87" i="1"/>
  <c r="O87" i="1" a="1"/>
  <c r="N87" i="1"/>
  <c r="M87" i="1"/>
  <c r="O86" i="1" a="1"/>
  <c r="O86" i="1" s="1"/>
  <c r="N86" i="1"/>
  <c r="M86" i="1"/>
  <c r="O85" i="1" a="1"/>
  <c r="O85" i="1" s="1"/>
  <c r="N85" i="1"/>
  <c r="M85" i="1"/>
  <c r="O84" i="1" a="1"/>
  <c r="O84" i="1" s="1"/>
  <c r="N84" i="1"/>
  <c r="M84" i="1"/>
  <c r="O83" i="1" a="1"/>
  <c r="O83" i="1" s="1"/>
  <c r="N83" i="1"/>
  <c r="M83" i="1"/>
  <c r="O82" i="1"/>
  <c r="O82" i="1" a="1"/>
  <c r="N82" i="1"/>
  <c r="M82" i="1"/>
  <c r="O81" i="1" a="1"/>
  <c r="O81" i="1" s="1"/>
  <c r="N81" i="1"/>
  <c r="M81" i="1"/>
  <c r="O80" i="1" a="1"/>
  <c r="O80" i="1" s="1"/>
  <c r="N80" i="1"/>
  <c r="M80" i="1"/>
  <c r="O79" i="1"/>
  <c r="O79" i="1" a="1"/>
  <c r="N79" i="1"/>
  <c r="M79" i="1"/>
  <c r="O78" i="1" a="1"/>
  <c r="O78" i="1" s="1"/>
  <c r="N78" i="1"/>
  <c r="M78" i="1"/>
  <c r="O77" i="1" a="1"/>
  <c r="O77" i="1" s="1"/>
  <c r="N77" i="1"/>
  <c r="M77" i="1"/>
  <c r="O76" i="1"/>
  <c r="O76" i="1" a="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c r="O64" i="1" a="1"/>
  <c r="N64" i="1"/>
  <c r="M64" i="1"/>
  <c r="O63" i="1" a="1"/>
  <c r="O63" i="1" s="1"/>
  <c r="N63" i="1"/>
  <c r="M63" i="1"/>
  <c r="O62" i="1" a="1"/>
  <c r="O62" i="1" s="1"/>
  <c r="N62" i="1"/>
  <c r="M62" i="1"/>
  <c r="O61" i="1"/>
  <c r="O61" i="1" a="1"/>
  <c r="N61" i="1"/>
  <c r="M61" i="1"/>
  <c r="O60" i="1" a="1"/>
  <c r="O60" i="1" s="1"/>
  <c r="N60" i="1"/>
  <c r="M60" i="1"/>
  <c r="O59" i="1"/>
  <c r="O59" i="1" a="1"/>
  <c r="N59" i="1"/>
  <c r="M59" i="1"/>
  <c r="O58" i="1" a="1"/>
  <c r="O58" i="1" s="1"/>
  <c r="N58" i="1"/>
  <c r="M58" i="1"/>
  <c r="O57" i="1"/>
  <c r="O57" i="1" a="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c r="O44" i="1" a="1"/>
  <c r="N44" i="1"/>
  <c r="M44" i="1"/>
  <c r="O43" i="1" a="1"/>
  <c r="O43" i="1" s="1"/>
  <c r="N43" i="1"/>
  <c r="M43" i="1"/>
  <c r="O42" i="1" a="1"/>
  <c r="O42" i="1" s="1"/>
  <c r="N42" i="1"/>
  <c r="M42" i="1"/>
  <c r="O41" i="1"/>
  <c r="O41" i="1" a="1"/>
  <c r="N41" i="1"/>
  <c r="M41" i="1"/>
  <c r="O40" i="1" a="1"/>
  <c r="O40" i="1" s="1"/>
  <c r="N40" i="1"/>
  <c r="M40" i="1"/>
  <c r="O39" i="1" a="1"/>
  <c r="O39" i="1" s="1"/>
  <c r="N39" i="1"/>
  <c r="M39" i="1"/>
  <c r="O38" i="1"/>
  <c r="O38" i="1" a="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c r="O29" i="1" a="1"/>
  <c r="N29" i="1"/>
  <c r="M29" i="1"/>
  <c r="O28" i="1" a="1"/>
  <c r="O28" i="1" s="1"/>
  <c r="N28" i="1"/>
  <c r="M28" i="1"/>
  <c r="O27" i="1" a="1"/>
  <c r="O27" i="1" s="1"/>
  <c r="N27" i="1"/>
  <c r="M27" i="1"/>
  <c r="O26" i="1" a="1"/>
  <c r="O26" i="1" s="1"/>
  <c r="N26" i="1"/>
  <c r="M26" i="1"/>
  <c r="O25" i="1" a="1"/>
  <c r="O25" i="1" s="1"/>
  <c r="N25" i="1"/>
  <c r="M25" i="1"/>
  <c r="O24" i="1"/>
  <c r="O24" i="1" a="1"/>
  <c r="N24" i="1"/>
  <c r="M24" i="1"/>
  <c r="O23" i="1"/>
  <c r="O23" i="1" a="1"/>
  <c r="N23" i="1"/>
  <c r="M23" i="1"/>
  <c r="O22" i="1" a="1"/>
  <c r="O22" i="1" s="1"/>
  <c r="N22" i="1"/>
  <c r="M22" i="1"/>
  <c r="O21" i="1" a="1"/>
  <c r="O21" i="1" s="1"/>
  <c r="N21" i="1"/>
  <c r="M21" i="1"/>
  <c r="O20" i="1"/>
  <c r="O20" i="1" a="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c r="O9" i="1" a="1"/>
  <c r="N9" i="1"/>
  <c r="M9" i="1"/>
  <c r="O8" i="1"/>
  <c r="O8" i="1" a="1"/>
  <c r="N8" i="1"/>
  <c r="M8" i="1"/>
  <c r="O7" i="1" a="1"/>
  <c r="O7" i="1" s="1"/>
  <c r="N7" i="1"/>
  <c r="M7" i="1"/>
  <c r="O6" i="1" a="1"/>
  <c r="O6" i="1" s="1"/>
  <c r="N6" i="1"/>
  <c r="M6" i="1"/>
  <c r="O5" i="1"/>
  <c r="O5" i="1" a="1"/>
  <c r="N5" i="1"/>
  <c r="M5" i="1"/>
  <c r="O4" i="1" a="1"/>
  <c r="O4" i="1" s="1"/>
  <c r="N4" i="1"/>
  <c r="M4" i="1"/>
  <c r="O3" i="1" a="1"/>
  <c r="O3" i="1" s="1"/>
  <c r="N3" i="1"/>
  <c r="M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<sst xmlns="http://schemas.openxmlformats.org/spreadsheetml/2006/main" count="14904" uniqueCount="2578">
  <si>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</si>
  <si>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</si>
  <si>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</si>
  <si>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</si>
  <si>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</si>
  <si>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</si>
  <si>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</si>
  <si>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</si>
  <si>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</si>
  <si>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</si>
  <si>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</si>
  <si>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</si>
  <si>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</si>
  <si>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</si>
  <si>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</si>
  <si>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</si>
  <si>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</si>
  <si>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</si>
  <si>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</si>
  <si>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</si>
  <si>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</si>
  <si>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</si>
  <si>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</si>
  <si>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</si>
  <si>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</si>
  <si>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</si>
  <si>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</si>
  <si>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</si>
  <si>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</si>
  <si>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</si>
  <si>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</si>
  <si>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</si>
  <si>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</si>
  <si>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</si>
  <si>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</si>
  <si>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</si>
  <si>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</si>
  <si>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</si>
  <si>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</si>
  <si>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</si>
  <si>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</si>
  <si>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</si>
  <si>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</si>
  <si>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</si>
  <si>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</si>
  <si>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</si>
  <si>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</si>
  <si>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</si>
  <si>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</si>
  <si>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</si>
  <si>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</si>
  <si>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</si>
  <si>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</si>
  <si>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</si>
  <si>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</si>
  <si>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</si>
  <si>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</si>
  <si>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</si>
  <si>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</si>
  <si>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</si>
  <si>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</si>
  <si>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</si>
  <si>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</si>
  <si>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</si>
  <si>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</si>
  <si>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</si>
  <si>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</si>
  <si>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</si>
  <si>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</si>
  <si>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</si>
  <si>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</si>
  <si>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</si>
  <si>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</si>
  <si>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</si>
  <si>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</si>
  <si>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</si>
  <si>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</si>
  <si>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</si>
  <si>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</si>
  <si>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</si>
  <si>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</si>
  <si>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</si>
  <si>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</si>
  <si>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</si>
  <si>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</si>
  <si>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</si>
  <si>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</si>
  <si>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</si>
  <si>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</si>
  <si>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</si>
  <si>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</si>
  <si>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</si>
  <si>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</si>
  <si>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</si>
  <si>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</si>
  <si>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</si>
  <si>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</si>
  <si>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</si>
  <si>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</si>
  <si>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</si>
  <si>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</si>
  <si>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</si>
  <si>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</si>
  <si>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</si>
  <si>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</si>
  <si>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</si>
  <si>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</si>
  <si>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</si>
  <si>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</si>
  <si>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</si>
  <si>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</si>
  <si>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</si>
  <si>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</si>
  <si>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</si>
  <si>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</si>
  <si>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</si>
  <si>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</si>
  <si>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</si>
  <si>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</si>
  <si>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</si>
  <si>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</si>
  <si>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</si>
  <si>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</si>
  <si>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</si>
  <si>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</si>
  <si>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</si>
  <si>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</si>
  <si>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</si>
  <si>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</si>
  <si>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</si>
  <si>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</si>
  <si>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</si>
  <si>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</si>
  <si>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</si>
  <si>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</si>
  <si>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</si>
  <si>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</si>
  <si>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</si>
  <si>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</si>
  <si>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</si>
  <si>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</si>
  <si>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</si>
  <si>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</si>
  <si>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</si>
  <si>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</si>
  <si>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</si>
  <si>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</si>
  <si>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</si>
  <si>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</si>
  <si>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</si>
  <si>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</si>
  <si>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</si>
  <si>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</si>
  <si>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</si>
  <si>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</si>
  <si>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</si>
  <si>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</si>
  <si>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</si>
  <si>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</si>
  <si>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</si>
  <si>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</si>
  <si>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</si>
  <si>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</si>
  <si>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</si>
  <si>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</si>
  <si>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</si>
  <si>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</si>
  <si>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</si>
  <si>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</si>
  <si>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</si>
  <si>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</si>
  <si>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</si>
  <si>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</si>
  <si>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</si>
  <si>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</si>
  <si>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</si>
  <si>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</si>
  <si>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</si>
  <si>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</si>
  <si>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</si>
  <si>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</si>
  <si>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</si>
  <si>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</si>
  <si>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</si>
  <si>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</si>
  <si>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</si>
  <si>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</si>
  <si>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</si>
  <si>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</si>
  <si>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</si>
  <si>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</si>
  <si>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</si>
  <si>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</si>
  <si>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</si>
  <si>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</si>
  <si>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</si>
  <si>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</si>
  <si>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</si>
  <si>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</si>
  <si>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</si>
  <si>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</si>
  <si>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</si>
  <si>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</si>
  <si>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</si>
  <si>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</si>
  <si>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</si>
  <si>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</si>
  <si>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</si>
  <si>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</si>
  <si>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</si>
  <si>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</si>
  <si>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</si>
  <si>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</si>
  <si>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</si>
  <si>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</si>
  <si>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</si>
  <si>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</si>
  <si>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</si>
  <si>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</si>
  <si>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</si>
  <si>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</si>
  <si>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</si>
  <si>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</si>
  <si>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</si>
  <si>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</si>
  <si>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</si>
  <si>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</si>
  <si>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</si>
  <si>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</si>
  <si>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</si>
  <si>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</si>
  <si>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</si>
  <si>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</si>
  <si>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</si>
  <si>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</si>
  <si>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</si>
  <si>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</si>
  <si>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</si>
  <si>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</si>
  <si>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</si>
  <si>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</si>
  <si>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</si>
  <si>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</si>
  <si>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</si>
  <si>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</si>
  <si>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</si>
  <si>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</si>
  <si>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</si>
  <si>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</si>
  <si>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</si>
  <si>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</si>
  <si>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</si>
  <si>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</si>
  <si>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</si>
  <si>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</si>
  <si>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</si>
  <si>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</si>
  <si>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</si>
  <si>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</si>
  <si>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</si>
  <si>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</si>
  <si>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</si>
  <si>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</si>
  <si>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</si>
  <si>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</si>
  <si>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</si>
  <si>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</si>
  <si>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</si>
  <si>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</si>
  <si>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</si>
  <si>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</si>
  <si>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</si>
  <si>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</si>
  <si>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</si>
  <si>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</si>
  <si>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</si>
  <si>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</si>
  <si>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</si>
  <si>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</si>
  <si>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</si>
  <si>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</si>
  <si>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</si>
  <si>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</si>
  <si>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</si>
  <si>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</si>
  <si>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</si>
  <si>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</si>
  <si>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</si>
  <si>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</si>
  <si>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</si>
  <si>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</si>
  <si>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</si>
  <si>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</si>
  <si>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</si>
  <si>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</si>
  <si>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</si>
  <si>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</si>
  <si>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</si>
  <si>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</si>
  <si>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</si>
  <si>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</si>
  <si>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</si>
  <si>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</si>
  <si>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</si>
  <si>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</si>
  <si>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</si>
  <si>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</si>
  <si>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</si>
  <si>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</si>
  <si>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</si>
  <si>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</si>
  <si>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</si>
  <si>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</si>
  <si>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</si>
  <si>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</si>
  <si>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</si>
  <si>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</si>
  <si>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</si>
  <si>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</si>
  <si>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</si>
  <si>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</si>
  <si>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</si>
  <si>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</si>
  <si>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</si>
  <si>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</si>
  <si>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</si>
  <si>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</si>
  <si>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</si>
  <si>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</si>
  <si>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</si>
  <si>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</si>
  <si>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</si>
  <si>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</si>
  <si>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</si>
  <si>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</si>
  <si>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</si>
  <si>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</si>
  <si>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</si>
  <si>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</si>
  <si>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</si>
  <si>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</si>
  <si>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</si>
  <si>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</si>
  <si>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</si>
  <si>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</si>
  <si>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</si>
  <si>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</si>
  <si>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</si>
  <si>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</si>
  <si>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</si>
  <si>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</si>
  <si>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</si>
  <si>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</si>
  <si>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</si>
  <si>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</si>
  <si>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</si>
  <si>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</si>
  <si>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</si>
  <si>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</si>
  <si>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</si>
  <si>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</si>
  <si>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</si>
  <si>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</si>
  <si>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</si>
  <si>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</si>
  <si>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</si>
  <si>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</si>
  <si>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</si>
  <si>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</si>
  <si>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</si>
  <si>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</si>
  <si>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</si>
  <si>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</si>
  <si>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</si>
  <si>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</si>
  <si>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</si>
  <si>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</si>
  <si>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</si>
  <si>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</si>
  <si>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</si>
  <si>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</si>
  <si>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</si>
  <si>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</si>
  <si>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</si>
  <si>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</si>
  <si>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</si>
  <si>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</si>
  <si>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</si>
  <si>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</si>
  <si>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</si>
  <si>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</si>
  <si>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</si>
  <si>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</si>
  <si>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</si>
  <si>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</si>
  <si>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</si>
  <si>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</si>
  <si>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</si>
  <si>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</si>
  <si>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</si>
  <si>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</si>
  <si>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</si>
  <si>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</si>
  <si>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</si>
  <si>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</si>
  <si>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</si>
  <si>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</si>
  <si>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</si>
  <si>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</si>
  <si>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</si>
  <si>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</si>
  <si>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</si>
  <si>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</si>
  <si>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</si>
  <si>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</si>
  <si>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</si>
  <si>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</si>
  <si>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</si>
  <si>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</si>
  <si>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</si>
  <si>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</si>
  <si>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</si>
  <si>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</si>
  <si>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</si>
  <si>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</si>
  <si>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</si>
  <si>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</si>
  <si>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</si>
  <si>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</si>
  <si>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</si>
  <si>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</si>
  <si>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</si>
  <si>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</si>
  <si>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</si>
  <si>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</si>
  <si>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</si>
  <si>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</si>
  <si>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</si>
  <si>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</si>
  <si>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</si>
  <si>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</si>
  <si>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</si>
  <si>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</si>
  <si>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</si>
  <si>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</si>
  <si>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</si>
  <si>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</si>
  <si>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</si>
  <si>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</si>
  <si>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</si>
  <si>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</si>
  <si>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</si>
  <si>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</si>
  <si>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</si>
  <si>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</si>
  <si>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</si>
  <si>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</si>
  <si>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</si>
  <si>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</si>
  <si>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</si>
  <si>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</si>
  <si>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</si>
  <si>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</si>
  <si>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</si>
  <si>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</si>
  <si>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</si>
  <si>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</si>
  <si>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</si>
  <si>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</si>
  <si>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</si>
  <si>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</si>
  <si>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</si>
  <si>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</si>
  <si>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</si>
  <si>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</si>
  <si>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</si>
  <si>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</si>
  <si>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</si>
  <si>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</si>
  <si>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</si>
  <si>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</si>
  <si>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</si>
  <si>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</si>
  <si>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</si>
  <si>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</si>
  <si>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</si>
  <si>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</si>
  <si>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</si>
  <si>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</si>
  <si>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</si>
  <si>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</si>
  <si>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</si>
  <si>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</si>
  <si>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</si>
  <si>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</si>
  <si>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</si>
  <si>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</si>
  <si>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</si>
  <si>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</si>
  <si>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</si>
  <si>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</si>
  <si>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</si>
  <si>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</si>
  <si>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</si>
  <si>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</si>
  <si>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</si>
  <si>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</si>
  <si>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</si>
  <si>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</si>
  <si>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</si>
  <si>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</si>
  <si>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</si>
  <si>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</si>
  <si>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</si>
  <si>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</si>
  <si>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</si>
  <si>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</si>
  <si>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</si>
  <si>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</si>
  <si>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</si>
  <si>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</si>
  <si>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</si>
  <si>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</si>
  <si>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</si>
  <si>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</si>
  <si>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</si>
  <si>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</si>
  <si>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</si>
  <si>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</si>
  <si>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</si>
  <si>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</si>
  <si>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</si>
  <si>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</si>
  <si>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</si>
  <si>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</si>
  <si>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</si>
  <si>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</si>
  <si>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</si>
  <si>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</si>
  <si>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</si>
  <si>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</si>
  <si>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</si>
  <si>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</si>
  <si>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</si>
  <si>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</si>
  <si>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</si>
  <si>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</si>
  <si>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</si>
  <si>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</si>
  <si>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</si>
  <si>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</si>
  <si>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</si>
  <si>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</si>
  <si>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</si>
  <si>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</si>
  <si>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</si>
  <si>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</si>
  <si>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</si>
  <si>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</si>
  <si>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</si>
  <si>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</si>
  <si>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</si>
  <si>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</si>
  <si>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</si>
  <si>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</si>
  <si>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</si>
  <si>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</si>
  <si>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</si>
  <si>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</si>
  <si>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</si>
  <si>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</si>
  <si>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</si>
  <si>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</si>
  <si>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</si>
  <si>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</si>
  <si>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</si>
  <si>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</si>
  <si>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</si>
  <si>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</si>
  <si>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</si>
  <si>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</si>
  <si>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</si>
  <si>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</si>
  <si>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</si>
  <si>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</si>
  <si>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</si>
  <si>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</si>
  <si>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</si>
  <si>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</si>
  <si>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</si>
  <si>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</si>
  <si>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</si>
  <si>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</si>
  <si>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</si>
  <si>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</si>
  <si>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</si>
  <si>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</si>
  <si>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</si>
  <si>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</si>
  <si>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</si>
  <si>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</si>
  <si>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</si>
  <si>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</si>
  <si>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</si>
  <si>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</si>
  <si>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</si>
  <si>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</si>
  <si>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</si>
  <si>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</si>
  <si>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</si>
  <si>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</si>
  <si>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</si>
  <si>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</si>
  <si>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</si>
  <si>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</si>
  <si>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</si>
  <si>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</si>
  <si>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</si>
  <si>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</si>
  <si>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</si>
  <si>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</si>
  <si>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</si>
  <si>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</si>
  <si>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</si>
  <si>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</si>
  <si>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</si>
  <si>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</si>
  <si>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</si>
  <si>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</si>
  <si>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</si>
  <si>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</si>
  <si>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</si>
  <si>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</si>
  <si>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</si>
  <si>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</si>
  <si>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</si>
  <si>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</si>
  <si>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</si>
  <si>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</si>
  <si>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</si>
  <si>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</si>
  <si>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</si>
  <si>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</si>
  <si>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</si>
  <si>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</si>
  <si>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</si>
  <si>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</si>
  <si>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</si>
  <si>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</si>
  <si>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</si>
  <si>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</si>
  <si>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</si>
  <si>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</si>
  <si>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</si>
  <si>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</si>
  <si>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</si>
  <si>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</si>
  <si>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</si>
  <si>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</si>
  <si>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</si>
  <si>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</si>
  <si>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</si>
  <si>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</si>
  <si>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</si>
  <si>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</si>
  <si>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</si>
  <si>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</si>
  <si>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</si>
  <si>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</si>
  <si>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</si>
  <si>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</si>
  <si>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</si>
  <si>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</si>
  <si>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</si>
  <si>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</si>
  <si>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</si>
  <si>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</si>
  <si>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</si>
  <si>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</si>
  <si>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</si>
  <si>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</si>
  <si>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</si>
  <si>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</si>
  <si>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</si>
  <si>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</si>
  <si>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</si>
  <si>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</si>
  <si>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</si>
  <si>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</si>
  <si>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</si>
  <si>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</si>
  <si>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</si>
  <si>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</si>
  <si>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</si>
  <si>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</si>
  <si>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</si>
  <si>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</si>
  <si>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</si>
  <si>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</si>
  <si>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</si>
  <si>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</si>
  <si>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</si>
  <si>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</si>
  <si>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</si>
  <si>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</si>
  <si>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</si>
  <si>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</si>
  <si>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</si>
  <si>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</si>
  <si>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</si>
  <si>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</si>
  <si>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</si>
  <si>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</si>
  <si>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</si>
  <si>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</si>
  <si>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</si>
  <si>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</si>
  <si>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</si>
  <si>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</si>
  <si>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</si>
  <si>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</si>
  <si>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</si>
  <si>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</si>
  <si>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</si>
  <si>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</si>
  <si>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</si>
  <si>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</si>
  <si>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</si>
  <si>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</si>
  <si>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</si>
  <si>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</si>
  <si>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</si>
  <si>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</si>
  <si>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</si>
  <si>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</si>
  <si>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</si>
  <si>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</si>
  <si>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</si>
  <si>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</si>
  <si>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</si>
  <si>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</si>
  <si>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</si>
  <si>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</si>
  <si>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</si>
  <si>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</si>
  <si>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</si>
  <si>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</si>
  <si>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</si>
  <si>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</si>
  <si>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</si>
  <si>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</si>
  <si>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</si>
  <si>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</si>
  <si>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</si>
  <si>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</si>
  <si>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</si>
  <si>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</si>
  <si>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</si>
  <si>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</si>
  <si>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</si>
  <si>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</si>
  <si>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</si>
  <si>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</si>
  <si>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</si>
  <si>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</si>
  <si>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</si>
  <si>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</si>
  <si>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</si>
  <si>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</si>
  <si>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</si>
  <si>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</si>
  <si>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</si>
  <si>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</si>
  <si>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</si>
  <si>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</si>
  <si>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</si>
  <si>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</si>
  <si>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</si>
  <si>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</si>
  <si>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</si>
  <si>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</si>
  <si>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</si>
  <si>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</si>
  <si>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</si>
  <si>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</si>
  <si>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</si>
  <si>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</si>
  <si>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</si>
  <si>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</si>
  <si>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</si>
  <si>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</si>
  <si>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</si>
  <si>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</si>
  <si>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</si>
  <si>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</si>
  <si>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</si>
  <si>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</si>
  <si>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</si>
  <si>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</si>
  <si>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</si>
  <si>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</si>
  <si>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</si>
  <si>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</si>
  <si>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</si>
  <si>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</si>
  <si>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</si>
  <si>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</si>
  <si>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</si>
  <si>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</si>
  <si>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</si>
  <si>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</si>
  <si>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</si>
  <si>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</si>
  <si>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</si>
  <si>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</si>
  <si>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</si>
  <si>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</si>
  <si>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</si>
  <si>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</si>
  <si>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</si>
  <si>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</si>
  <si>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</si>
  <si>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</si>
  <si>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</si>
  <si>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</si>
  <si>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</si>
  <si>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</si>
  <si>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</si>
  <si>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</si>
  <si>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</si>
  <si>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</si>
  <si>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</si>
  <si>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</si>
  <si>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</si>
  <si>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</si>
  <si>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</si>
  <si>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</si>
  <si>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</si>
  <si>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</si>
  <si>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</si>
  <si>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</si>
  <si>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</si>
  <si>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</si>
  <si>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</si>
  <si>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</si>
  <si>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</si>
  <si>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</si>
  <si>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</si>
  <si>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</si>
  <si>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</si>
  <si>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</si>
  <si>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</si>
  <si>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</si>
  <si>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</si>
  <si>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</si>
  <si>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</si>
  <si>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</si>
  <si>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</si>
  <si>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</si>
  <si>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</si>
  <si>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</si>
  <si>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</si>
  <si>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</si>
  <si>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</si>
  <si>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</si>
  <si>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</si>
  <si>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</si>
  <si>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</si>
  <si>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</si>
  <si>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</si>
  <si>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</si>
  <si>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</si>
  <si>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</si>
  <si>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</si>
  <si>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</si>
  <si>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</si>
  <si>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</si>
  <si>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</si>
  <si>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</si>
  <si>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</si>
  <si>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</si>
  <si>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</si>
  <si>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</si>
  <si>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</si>
  <si>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</si>
  <si>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</si>
  <si>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</si>
  <si>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</si>
  <si>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</si>
  <si>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</si>
  <si>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</si>
  <si>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</si>
  <si>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</si>
  <si>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</si>
  <si>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</si>
  <si>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</si>
  <si>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</si>
  <si>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</si>
  <si>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</si>
  <si>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</si>
  <si>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</si>
  <si>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</si>
  <si>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</si>
  <si>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</si>
  <si>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</si>
  <si>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</si>
  <si>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</si>
  <si>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</si>
  <si>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</si>
  <si>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</si>
  <si>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</si>
  <si>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</si>
  <si>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</si>
  <si>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</si>
  <si>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</si>
  <si>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</si>
  <si>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</si>
  <si>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</si>
  <si>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</si>
  <si>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</si>
  <si>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</si>
  <si>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</si>
  <si>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</si>
  <si>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</si>
  <si>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</si>
  <si>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</si>
  <si>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</si>
  <si>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</si>
  <si>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</si>
  <si>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</si>
  <si>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</si>
  <si>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</si>
  <si>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</si>
  <si>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</si>
  <si>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</si>
  <si>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</si>
  <si>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</si>
  <si>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</si>
  <si>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</si>
  <si>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</si>
  <si>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</si>
  <si>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</si>
  <si>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</si>
  <si>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</si>
  <si>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</si>
  <si>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</si>
  <si>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</si>
  <si>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</si>
  <si>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</si>
  <si>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</si>
  <si>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</si>
  <si>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</si>
  <si>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</si>
  <si>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</si>
  <si>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</si>
  <si>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</si>
  <si>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</si>
  <si>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</si>
  <si>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</si>
  <si>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</si>
  <si>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</si>
  <si>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</si>
  <si>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</si>
  <si>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</si>
  <si>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</si>
  <si>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</si>
  <si>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</si>
  <si>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</si>
  <si>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</si>
  <si>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</si>
  <si>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</si>
  <si>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</si>
  <si>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</si>
  <si>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</si>
  <si>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</si>
  <si>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</si>
  <si>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</si>
  <si>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</si>
  <si>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</si>
  <si>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</si>
  <si>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</si>
  <si>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</si>
  <si>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</si>
  <si>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</si>
  <si>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</si>
  <si>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</si>
  <si>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</si>
  <si>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</si>
  <si>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</si>
  <si>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</si>
  <si>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</si>
  <si>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</si>
  <si>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</si>
  <si>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</si>
  <si>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</si>
  <si>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</si>
  <si>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</si>
  <si>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</si>
  <si>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</si>
  <si>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</si>
  <si>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</si>
  <si>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</si>
  <si>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</si>
  <si>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</si>
  <si>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</si>
  <si>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</si>
  <si>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</si>
  <si>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</si>
  <si>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</si>
  <si>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</si>
  <si>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</si>
  <si>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</si>
  <si>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</si>
  <si>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</si>
  <si>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</si>
  <si>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</si>
  <si>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</si>
  <si>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</si>
  <si>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</si>
  <si>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</si>
  <si>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</si>
  <si>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</si>
  <si>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</si>
  <si>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</si>
  <si>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</si>
  <si>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</si>
  <si>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</si>
  <si>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</si>
  <si>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</si>
  <si>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</si>
  <si>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</si>
  <si>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</si>
  <si>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</si>
  <si>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</si>
  <si>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</si>
  <si>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</si>
  <si>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</si>
  <si>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</si>
  <si>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</si>
  <si>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</si>
  <si>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</si>
  <si>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</si>
  <si>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</si>
  <si>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</si>
  <si>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</si>
  <si>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</si>
  <si>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</si>
  <si>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</si>
  <si>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</si>
  <si>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</si>
  <si>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</si>
  <si>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</si>
  <si>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</si>
  <si>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</si>
  <si>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</si>
  <si>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</si>
  <si>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</si>
  <si>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</si>
  <si>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</si>
  <si>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</si>
  <si>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</si>
  <si>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</si>
  <si>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</si>
  <si>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</si>
  <si>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</si>
  <si>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</si>
  <si>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</si>
  <si>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</si>
  <si>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</si>
  <si>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</si>
  <si>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</si>
  <si>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</si>
  <si>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</si>
  <si>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</si>
  <si>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</si>
  <si>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</si>
  <si>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</si>
  <si>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</si>
  <si>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</si>
  <si>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</si>
  <si>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</si>
  <si>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</si>
  <si>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</si>
  <si>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</si>
  <si>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</si>
  <si>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</si>
  <si>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</si>
  <si>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</si>
  <si>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</si>
  <si>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</si>
  <si>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</si>
  <si>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</si>
  <si>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</si>
  <si>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</si>
  <si>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</si>
  <si>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</si>
  <si>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</si>
  <si>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</si>
  <si>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</si>
  <si>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</si>
  <si>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</si>
  <si>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</si>
  <si>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</si>
  <si>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</si>
  <si>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</si>
  <si>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</si>
  <si>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</si>
  <si>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</si>
  <si>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</si>
  <si>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</si>
  <si>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</si>
  <si>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</si>
  <si>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</si>
  <si>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</si>
  <si>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</si>
  <si>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</si>
  <si>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</si>
  <si>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</si>
  <si>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</si>
  <si>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</si>
  <si>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</si>
  <si>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</si>
  <si>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</si>
  <si>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</si>
  <si>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</si>
  <si>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</si>
  <si>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</si>
  <si>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</si>
  <si>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</si>
  <si>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</si>
  <si>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</si>
  <si>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</si>
  <si>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</si>
  <si>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</si>
  <si>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</si>
  <si>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</si>
  <si>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</si>
  <si>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</si>
  <si>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</si>
  <si>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</si>
  <si>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</si>
  <si>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</si>
  <si>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</si>
  <si>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</si>
  <si>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</si>
  <si>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</si>
  <si>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</si>
  <si>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</si>
  <si>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</si>
  <si>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</si>
  <si>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</si>
  <si>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</si>
  <si>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</si>
  <si>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</si>
  <si>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</si>
  <si>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</si>
  <si>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</si>
  <si>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</si>
  <si>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</si>
  <si>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</si>
  <si>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</si>
  <si>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</si>
  <si>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</si>
  <si>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</si>
  <si>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</si>
  <si>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</si>
  <si>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</si>
  <si>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</si>
  <si>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</si>
  <si>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</si>
  <si>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</si>
  <si>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</si>
  <si>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</si>
  <si>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</si>
  <si>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</si>
  <si>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</si>
  <si>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</si>
  <si>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</si>
  <si>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</si>
  <si>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</si>
  <si>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</si>
  <si>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</si>
  <si>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</si>
  <si>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</si>
  <si>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</si>
  <si>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</si>
  <si>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</si>
  <si>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</si>
  <si>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</si>
  <si>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</si>
  <si>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</si>
  <si>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</si>
  <si>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</si>
  <si>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</si>
  <si>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</si>
  <si>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</si>
  <si>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</si>
  <si>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</si>
  <si>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</si>
  <si>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</si>
  <si>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</si>
  <si>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</si>
  <si>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</si>
  <si>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</si>
  <si>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</si>
  <si>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</si>
  <si>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</si>
  <si>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</si>
  <si>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</si>
  <si>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</si>
  <si>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</si>
  <si>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</si>
  <si>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</si>
  <si>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</si>
  <si>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</si>
  <si>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</si>
  <si>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</si>
  <si>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</si>
  <si>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</si>
  <si>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</si>
  <si>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</si>
  <si>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</si>
  <si>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</si>
  <si>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</si>
  <si>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</si>
  <si>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</si>
  <si>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</si>
  <si>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</si>
  <si>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</si>
  <si>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</si>
  <si>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</si>
  <si>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</si>
  <si>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</si>
  <si>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</si>
  <si>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</si>
  <si>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</si>
  <si>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</si>
  <si>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</si>
  <si>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</si>
  <si>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</si>
  <si>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</si>
  <si>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</si>
  <si>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</si>
  <si>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</si>
  <si>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</si>
  <si>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</si>
  <si>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</si>
  <si>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</si>
  <si>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</si>
  <si>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</si>
  <si>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</si>
  <si>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</si>
  <si>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</si>
  <si>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</si>
  <si>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</si>
  <si>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</si>
  <si>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</si>
  <si>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</si>
  <si>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</si>
  <si>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</si>
  <si>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</si>
  <si>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</si>
  <si>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</si>
  <si>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</si>
  <si>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</si>
  <si>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</si>
  <si>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</si>
  <si>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</si>
  <si>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</si>
  <si>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</si>
  <si>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</si>
  <si>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</si>
  <si>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</si>
  <si>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</si>
  <si>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</si>
  <si>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</si>
  <si>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</si>
  <si>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</si>
  <si>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</si>
  <si>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</si>
  <si>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</si>
  <si>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</si>
  <si>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</si>
  <si>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</si>
  <si>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</si>
  <si>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</si>
  <si>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</si>
  <si>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</si>
  <si>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</si>
  <si>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</si>
  <si>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</si>
  <si>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</si>
  <si>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</si>
  <si>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</si>
  <si>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</si>
  <si>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</si>
  <si>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</si>
  <si>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</si>
  <si>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</si>
  <si>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</si>
  <si>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</si>
  <si>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</si>
  <si>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</si>
  <si>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</si>
  <si>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</si>
  <si>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</si>
  <si>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</si>
  <si>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</si>
  <si>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</si>
  <si>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</si>
  <si>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</si>
  <si>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</si>
  <si>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</si>
  <si>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</si>
  <si>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</si>
  <si>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</si>
  <si>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</si>
  <si>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</si>
  <si>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</si>
  <si>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</si>
  <si>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</si>
  <si>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</si>
  <si>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</si>
  <si>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</si>
  <si>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</si>
  <si>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</si>
  <si>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</si>
  <si>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</si>
  <si>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</si>
  <si>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</si>
  <si>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</si>
  <si>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</si>
  <si>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</si>
  <si>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</si>
  <si>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</si>
  <si>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</si>
  <si>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</si>
  <si>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</si>
  <si>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</si>
  <si>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</si>
  <si>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</si>
  <si>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</si>
  <si>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</si>
  <si>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</si>
  <si>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</si>
  <si>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</si>
  <si>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</si>
  <si>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</si>
  <si>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</si>
  <si>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</si>
  <si>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</si>
  <si>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</si>
  <si>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</si>
  <si>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</si>
  <si>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</si>
  <si>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</si>
  <si>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</si>
  <si>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</si>
  <si>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</si>
  <si>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</si>
  <si>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</si>
  <si>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</si>
  <si>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</si>
  <si>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</si>
  <si>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</si>
  <si>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</si>
  <si>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</si>
  <si>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</si>
  <si>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</si>
  <si>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</si>
  <si>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</si>
  <si>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</si>
  <si>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</si>
  <si>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</si>
  <si>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</si>
  <si>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</si>
  <si>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</si>
  <si>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</si>
  <si>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</si>
  <si>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</si>
  <si>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</si>
  <si>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</si>
  <si>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</si>
  <si>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</si>
  <si>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</si>
  <si>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</si>
  <si>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</si>
  <si>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</si>
  <si>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</si>
  <si>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</si>
  <si>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</si>
  <si>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</si>
  <si>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</si>
  <si>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</si>
  <si>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</si>
  <si>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</si>
  <si>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</si>
  <si>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</si>
  <si>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</si>
  <si>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</si>
  <si>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</si>
  <si>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</si>
  <si>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</si>
  <si>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</si>
  <si>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</si>
  <si>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</si>
  <si>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</si>
  <si>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</si>
  <si>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</si>
  <si>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</si>
  <si>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</si>
  <si>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</si>
  <si>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</si>
  <si>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</si>
  <si>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</si>
  <si>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</si>
  <si>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</si>
  <si>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</si>
  <si>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</si>
  <si>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</si>
  <si>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</si>
  <si>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</si>
  <si>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</si>
  <si>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</si>
  <si>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</si>
  <si>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</si>
  <si>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</si>
  <si>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</si>
  <si>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</si>
  <si>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</si>
  <si>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</si>
  <si>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</si>
  <si>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</si>
  <si>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</si>
  <si>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</si>
  <si>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</si>
  <si>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</si>
  <si>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</si>
  <si>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</si>
  <si>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</si>
  <si>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</si>
  <si>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</si>
  <si>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</si>
  <si>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</si>
  <si>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</si>
  <si>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</si>
  <si>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</si>
  <si>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</si>
  <si>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</si>
  <si>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</si>
  <si>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</si>
  <si>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</si>
  <si>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</si>
  <si>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</si>
  <si>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</si>
  <si>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</si>
  <si>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</si>
  <si>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</si>
  <si>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</si>
  <si>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</si>
  <si>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</si>
  <si>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</si>
  <si>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</si>
  <si>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</si>
  <si>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</si>
  <si>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</si>
  <si>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</si>
  <si>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</si>
  <si>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</si>
  <si>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</si>
  <si>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</si>
  <si>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</si>
  <si>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</si>
  <si>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</si>
  <si>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</si>
  <si>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</si>
  <si>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</si>
  <si>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</si>
  <si>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</si>
  <si>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</si>
  <si>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</si>
  <si>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</si>
  <si>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</si>
  <si>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</si>
  <si>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</si>
  <si>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</si>
  <si>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</si>
  <si>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</si>
  <si>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</si>
  <si>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</si>
  <si>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</si>
  <si>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</si>
  <si>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</si>
  <si>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</si>
  <si>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</si>
  <si>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</si>
  <si>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</si>
  <si>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</si>
  <si>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</si>
  <si>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</si>
  <si>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</si>
  <si>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</si>
  <si>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</si>
  <si>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</si>
  <si>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</si>
  <si>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</si>
  <si>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</si>
  <si>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</si>
  <si>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</si>
  <si>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</si>
  <si>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</si>
  <si>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</si>
  <si>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</si>
  <si>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</si>
  <si>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</si>
  <si>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</si>
  <si>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</si>
  <si>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</si>
  <si>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</si>
  <si>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</si>
  <si>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</si>
  <si>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</si>
  <si>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</si>
  <si>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</si>
  <si>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</si>
  <si>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</si>
  <si>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</si>
  <si>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</si>
  <si>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</si>
  <si>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</si>
  <si>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</si>
  <si>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</si>
  <si>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</si>
  <si>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</si>
  <si>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</si>
  <si>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</si>
  <si>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</si>
  <si>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</si>
  <si>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</si>
  <si>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</si>
  <si>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</si>
  <si>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</si>
  <si>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</si>
  <si>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</si>
  <si>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</si>
  <si>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</si>
  <si>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</si>
  <si>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</si>
  <si>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</si>
  <si>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</si>
  <si>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</si>
  <si>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</si>
  <si>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</si>
  <si>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</si>
  <si>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</si>
  <si>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</si>
  <si>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</si>
  <si>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</si>
  <si>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</si>
  <si>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</si>
  <si>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</si>
  <si>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</si>
  <si>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</si>
  <si>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</si>
  <si>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</si>
  <si>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</si>
  <si>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</si>
  <si>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</si>
  <si>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</si>
  <si>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</si>
  <si>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</si>
  <si>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</si>
  <si>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</si>
  <si>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</si>
  <si>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</si>
  <si>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</si>
  <si>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</si>
  <si>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</si>
  <si>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</si>
  <si>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</si>
  <si>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</si>
  <si>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</si>
  <si>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</si>
  <si>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</si>
  <si>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</si>
  <si>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</si>
  <si>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</si>
  <si>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</si>
  <si>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</si>
  <si>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</si>
  <si>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</si>
  <si>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</si>
  <si>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</si>
  <si>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</si>
  <si>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</si>
  <si>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</si>
  <si>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</si>
  <si>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</si>
  <si>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</si>
  <si>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</si>
  <si>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</si>
  <si>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</si>
  <si>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</si>
  <si>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</si>
  <si>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</si>
  <si>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</si>
  <si>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</si>
  <si>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</si>
  <si>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</si>
  <si>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</si>
  <si>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</si>
  <si>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</si>
  <si>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</si>
  <si>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</si>
  <si>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</si>
  <si>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</si>
  <si>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</si>
  <si>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</si>
  <si>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</si>
  <si>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</si>
  <si>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</si>
  <si>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</si>
  <si>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</si>
  <si>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</si>
  <si>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</si>
  <si>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</si>
  <si>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</si>
  <si>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</si>
  <si>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</si>
  <si>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</si>
  <si>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</si>
  <si>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</si>
  <si>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</si>
  <si>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</si>
  <si>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</si>
  <si>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</si>
  <si>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</si>
  <si>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</si>
  <si>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</si>
  <si>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</si>
  <si>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</si>
  <si>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</si>
  <si>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</si>
  <si>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</si>
  <si>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</si>
  <si>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</si>
  <si>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</si>
  <si>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</si>
  <si>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</si>
  <si>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</si>
  <si>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</si>
  <si>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</si>
  <si>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</si>
  <si>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</si>
  <si>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</si>
  <si>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</si>
  <si>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</si>
  <si>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</si>
  <si>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</si>
  <si>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</si>
  <si>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</si>
  <si>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</si>
  <si>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</si>
  <si>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</si>
  <si>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</si>
  <si>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</si>
  <si>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</si>
  <si>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</si>
  <si>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</si>
  <si>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</si>
  <si>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</si>
  <si>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</si>
  <si>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</si>
  <si>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</si>
  <si>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</si>
  <si>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</si>
  <si>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</si>
  <si>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</si>
  <si>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</si>
  <si>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</si>
  <si>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</si>
  <si>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</si>
  <si>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</si>
  <si>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</si>
  <si>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</si>
  <si>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</si>
  <si>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</si>
  <si>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</si>
  <si>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</si>
  <si>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</si>
  <si>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</si>
  <si>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</si>
  <si>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</si>
  <si>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</si>
  <si>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</si>
  <si>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</si>
  <si>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</si>
  <si>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</si>
  <si>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</si>
  <si>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</si>
  <si>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</si>
  <si>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</si>
  <si>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</si>
  <si>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</si>
  <si>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</si>
  <si>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</si>
  <si>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</si>
  <si>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</si>
  <si>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</si>
  <si>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</si>
  <si>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</si>
  <si>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</si>
  <si>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</si>
  <si>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</si>
  <si>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</si>
  <si>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</si>
  <si>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</si>
  <si>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</si>
  <si>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</si>
  <si>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</si>
  <si>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</si>
  <si>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</si>
  <si>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</si>
  <si>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</si>
  <si>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</si>
  <si>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</si>
  <si>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</si>
  <si>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</si>
  <si>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</si>
  <si>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</si>
  <si>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</si>
  <si>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</si>
  <si>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</si>
  <si>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</si>
  <si>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</si>
  <si>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</si>
  <si>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</si>
  <si>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</si>
  <si>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</si>
  <si>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</si>
  <si>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</si>
  <si>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</si>
  <si>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</si>
  <si>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</si>
  <si>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</si>
  <si>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</si>
  <si>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</si>
  <si>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</si>
  <si>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</si>
  <si>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</si>
  <si>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</si>
  <si>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</si>
  <si>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</si>
  <si>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</si>
  <si>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</si>
  <si>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</si>
  <si>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</si>
  <si>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</si>
  <si>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</si>
  <si>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</si>
  <si>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</si>
  <si>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</si>
  <si>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</si>
  <si>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</si>
  <si>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</si>
  <si>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</si>
  <si>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</si>
  <si>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</si>
  <si>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</si>
  <si>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</si>
  <si>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</si>
  <si>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</si>
  <si>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</si>
  <si>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</si>
  <si>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</si>
  <si>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</si>
  <si>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</si>
  <si>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</si>
  <si>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</si>
  <si>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</si>
  <si>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</si>
  <si>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</si>
  <si>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</si>
  <si>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</si>
  <si>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</si>
  <si>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</si>
  <si>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</si>
  <si>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</si>
  <si>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</si>
  <si>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</si>
  <si>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</si>
  <si>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</si>
  <si>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</si>
  <si>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</si>
  <si>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</si>
  <si>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</si>
  <si>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</si>
  <si>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</si>
  <si>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</si>
  <si>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</si>
  <si>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</si>
  <si>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</si>
  <si>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</si>
  <si>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</si>
  <si>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</si>
  <si>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</si>
  <si>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</si>
  <si>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</si>
  <si>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</si>
  <si>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</si>
  <si>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</si>
  <si>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</si>
  <si>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</si>
  <si>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</si>
  <si>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</si>
  <si>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</si>
  <si>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</si>
  <si>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</si>
  <si>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</si>
  <si>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</si>
  <si>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</si>
  <si>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</si>
  <si>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</si>
  <si>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</si>
  <si>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</si>
  <si>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</si>
  <si>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</si>
  <si>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</si>
  <si>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</si>
  <si>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</si>
  <si>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</si>
  <si>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</si>
  <si>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</si>
  <si>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</si>
  <si>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</si>
  <si>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</si>
  <si>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</si>
  <si>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</si>
  <si>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</si>
  <si>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</si>
  <si>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</si>
  <si>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</si>
  <si>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</si>
  <si>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</si>
  <si>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</si>
  <si>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</si>
  <si>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</si>
  <si>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</si>
  <si>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</si>
  <si>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</si>
  <si>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</si>
  <si>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</si>
  <si>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</si>
  <si>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</si>
  <si>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</si>
  <si>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</si>
  <si>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</si>
  <si>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</si>
  <si>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</si>
  <si>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</si>
  <si>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</si>
  <si>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</si>
  <si>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</si>
  <si>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</si>
  <si>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</si>
  <si>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</si>
  <si>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</si>
  <si>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</si>
  <si>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</si>
  <si>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</si>
  <si>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</si>
  <si>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</si>
  <si>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</si>
  <si>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</si>
  <si>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</si>
  <si>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</si>
  <si>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</si>
  <si>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</si>
  <si>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</si>
  <si>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</si>
  <si>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</si>
  <si>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</si>
  <si>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</si>
  <si>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</si>
  <si>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</si>
  <si>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</si>
  <si>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</si>
  <si>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</si>
  <si>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</si>
  <si>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</si>
  <si>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</si>
  <si>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</si>
  <si>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</si>
  <si>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</si>
  <si>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</si>
  <si>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</si>
  <si>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</si>
  <si>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</si>
  <si>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</si>
  <si>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</si>
  <si>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</si>
  <si>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</si>
  <si>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</si>
  <si>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</si>
  <si>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</si>
  <si>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</si>
  <si>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</si>
  <si>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</si>
  <si>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</si>
  <si>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</si>
  <si>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</si>
  <si>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</si>
  <si>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</si>
  <si>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</si>
  <si>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</si>
  <si>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</si>
  <si>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</si>
  <si>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</si>
  <si>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</si>
  <si>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</si>
  <si>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</si>
  <si>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</si>
  <si>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</si>
  <si>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</si>
  <si>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</si>
  <si>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</si>
  <si>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</si>
  <si>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</si>
  <si>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</si>
  <si>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</si>
  <si>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</si>
  <si>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</si>
  <si>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</si>
  <si>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</si>
  <si>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</si>
  <si>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</si>
  <si>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</si>
  <si>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</si>
  <si>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</si>
  <si>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</si>
  <si>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</si>
  <si>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</si>
  <si>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</si>
  <si>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</si>
  <si>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</si>
  <si>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</si>
  <si>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</si>
  <si>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</si>
  <si>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</si>
  <si>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</si>
  <si>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</si>
  <si>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</si>
  <si>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</si>
  <si>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</si>
  <si>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</si>
  <si>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</si>
  <si>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</si>
  <si>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</si>
  <si>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</si>
  <si>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</si>
  <si>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</si>
  <si>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</si>
  <si>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</si>
  <si>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</si>
  <si>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</si>
  <si>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</si>
  <si>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</si>
  <si>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</si>
  <si>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</si>
  <si>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</si>
  <si>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</si>
  <si>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</si>
  <si>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</si>
  <si>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</si>
  <si>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</si>
  <si>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</si>
  <si>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</si>
  <si>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</si>
  <si>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</si>
  <si>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</si>
  <si>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</si>
  <si>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</si>
  <si>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</si>
  <si>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</si>
  <si>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</si>
  <si>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</si>
  <si>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</si>
  <si>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</si>
  <si>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</si>
  <si>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</si>
  <si>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</si>
  <si>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</si>
  <si>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</si>
  <si>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</si>
  <si>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</si>
  <si>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</si>
  <si>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</si>
  <si>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</si>
  <si>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</si>
  <si>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</si>
  <si>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</si>
  <si>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</si>
  <si>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</si>
  <si>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</si>
  <si>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</si>
  <si>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</si>
  <si>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</si>
  <si>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</si>
  <si>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</si>
  <si>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</si>
  <si>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</si>
  <si>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</si>
  <si>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</si>
  <si>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</si>
  <si>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</si>
  <si>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</si>
  <si>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</si>
  <si>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</si>
  <si>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</si>
  <si>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</si>
  <si>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</si>
  <si>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</si>
  <si>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</si>
  <si>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</si>
  <si>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</si>
  <si>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</si>
  <si>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</si>
  <si>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</si>
  <si>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</si>
  <si>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</si>
  <si>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</si>
  <si>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</si>
  <si>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</si>
  <si>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</si>
  <si>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</si>
  <si>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</si>
  <si>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</si>
  <si>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</si>
  <si>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</si>
  <si>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</si>
  <si>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</si>
  <si>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</si>
  <si>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</si>
  <si>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</si>
  <si>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</si>
  <si>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</si>
  <si>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</si>
  <si>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</si>
  <si>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</si>
  <si>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</si>
  <si>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</si>
  <si>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</si>
  <si>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</si>
  <si>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</si>
  <si>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</si>
  <si>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</si>
  <si>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</si>
  <si>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</si>
  <si>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</si>
  <si>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</si>
  <si>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</si>
  <si>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</si>
  <si>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</si>
  <si>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</si>
  <si>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</si>
  <si>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</si>
  <si>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</si>
  <si>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</si>
  <si>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</si>
  <si>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</si>
  <si>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</si>
  <si>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</si>
  <si>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</si>
  <si>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</si>
  <si>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</si>
  <si>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</si>
  <si>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</si>
  <si>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</si>
  <si>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</si>
  <si>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</si>
  <si>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</si>
  <si>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</si>
  <si>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</si>
  <si>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</si>
  <si>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</si>
  <si>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</si>
  <si>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</si>
  <si>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</si>
  <si>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</si>
  <si>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</si>
  <si>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</si>
  <si>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</si>
  <si>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</si>
  <si>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</si>
  <si>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</si>
  <si>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</si>
  <si>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</si>
  <si>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</si>
  <si>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</si>
  <si>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</si>
  <si>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</si>
  <si>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</si>
  <si>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</si>
  <si>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</si>
  <si>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</si>
  <si>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</si>
  <si>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</si>
  <si>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</si>
  <si>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</si>
  <si>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</si>
  <si>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</si>
  <si>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</si>
  <si>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</si>
  <si>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</si>
  <si>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</si>
  <si>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</si>
  <si>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</si>
  <si>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</si>
  <si>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</si>
  <si>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</si>
  <si>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</si>
  <si>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</si>
  <si>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</si>
  <si>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</si>
  <si>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</si>
  <si>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</si>
  <si>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</si>
  <si>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</si>
  <si>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</si>
  <si>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</si>
  <si>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</si>
  <si>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</si>
  <si>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</si>
  <si>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</si>
  <si>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</si>
  <si>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</si>
  <si>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</si>
  <si>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</si>
  <si>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</si>
  <si>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</si>
  <si>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</si>
  <si>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</si>
  <si>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</si>
  <si>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</si>
  <si>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</si>
  <si>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</si>
  <si>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</si>
  <si>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</si>
  <si>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</si>
  <si>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</si>
  <si>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</si>
  <si>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</si>
  <si>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</si>
  <si>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</si>
  <si>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</si>
  <si>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</si>
  <si>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</si>
  <si>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</si>
  <si>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</si>
  <si>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</si>
  <si>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</si>
  <si>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</si>
  <si>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</si>
  <si>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</si>
  <si>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</si>
  <si>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</si>
  <si>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</si>
  <si>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</si>
  <si>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</si>
  <si>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</si>
  <si>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</si>
  <si>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</si>
  <si>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</si>
  <si>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</si>
  <si>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</si>
  <si>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</si>
  <si>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</si>
  <si>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</si>
  <si>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</si>
  <si>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</si>
  <si>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</si>
  <si>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</si>
  <si>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</si>
  <si>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</si>
  <si>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</si>
  <si>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</si>
  <si>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</si>
  <si>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</si>
  <si>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</si>
  <si>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</si>
  <si>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</si>
  <si>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</si>
  <si>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</si>
  <si>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</si>
  <si>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</si>
  <si>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</si>
  <si>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</si>
  <si>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</si>
  <si>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</si>
  <si>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</si>
  <si>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</si>
  <si>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</si>
  <si>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</si>
  <si>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</si>
  <si>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</si>
  <si>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</si>
  <si>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</si>
  <si>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</si>
  <si>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</si>
  <si>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</si>
  <si>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</si>
  <si>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</si>
  <si>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</si>
  <si>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</si>
  <si>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</si>
  <si>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</si>
  <si>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</si>
  <si>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</si>
  <si>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</si>
  <si>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</si>
  <si>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</si>
  <si>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</si>
  <si>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</si>
  <si>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</si>
  <si>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</si>
  <si>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</si>
  <si>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</si>
  <si>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</si>
  <si>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</si>
  <si>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</si>
  <si>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</si>
  <si>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</si>
  <si>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</si>
  <si>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</si>
  <si>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</si>
  <si>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</si>
  <si>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</si>
  <si>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</si>
  <si>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</si>
  <si>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</si>
  <si>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</si>
  <si>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</si>
  <si>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</si>
  <si>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</si>
  <si>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</si>
  <si>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</si>
  <si>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</si>
  <si>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</si>
  <si>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</si>
  <si>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</si>
  <si>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</si>
  <si>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</si>
  <si>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</si>
  <si>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</si>
  <si>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</si>
  <si>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</si>
  <si>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</si>
  <si>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</si>
  <si>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</si>
  <si>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</si>
  <si>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</si>
  <si>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</si>
  <si>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</si>
  <si>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</si>
  <si>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</si>
  <si>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</si>
  <si>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</si>
  <si>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</si>
  <si>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</si>
  <si>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</si>
  <si>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</si>
  <si>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</si>
  <si>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</si>
  <si>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</si>
  <si>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</si>
  <si>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</si>
  <si>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</si>
  <si>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</si>
  <si>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</si>
  <si>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</si>
  <si>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</si>
  <si>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</si>
  <si>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</si>
  <si>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</si>
  <si>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</si>
  <si>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</si>
  <si>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</si>
  <si>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</si>
  <si>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</si>
  <si>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</si>
  <si>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</si>
  <si>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</si>
  <si>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</si>
  <si>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</si>
  <si>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</si>
  <si>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</si>
  <si>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</si>
  <si>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</si>
  <si>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</si>
  <si>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</si>
  <si>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</si>
  <si>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</si>
  <si>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</si>
  <si>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</si>
  <si>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</si>
  <si>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</si>
  <si>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</si>
  <si>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</si>
  <si>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</si>
  <si>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</si>
  <si>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</si>
  <si>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</si>
  <si>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</si>
  <si>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</si>
  <si>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</si>
  <si>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</si>
  <si>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</si>
  <si>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</si>
  <si>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</si>
  <si>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</si>
  <si>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</si>
  <si>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</si>
  <si>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</si>
  <si>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</si>
  <si>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</si>
  <si>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</si>
  <si>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</si>
  <si>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</si>
  <si>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</si>
  <si>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</si>
  <si>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</si>
  <si>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</si>
  <si>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</si>
  <si>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</si>
  <si>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</si>
  <si>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</si>
  <si>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</si>
  <si>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</si>
  <si>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</si>
  <si>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</si>
  <si>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</si>
  <si>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</si>
  <si>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</si>
  <si>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</si>
  <si>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</si>
  <si>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</si>
  <si>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</si>
  <si>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</si>
  <si>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</si>
  <si>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</si>
  <si>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</si>
  <si>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</si>
  <si>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</si>
  <si>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</si>
  <si>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</si>
  <si>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</si>
  <si>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</si>
  <si>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</si>
  <si>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</si>
  <si>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</si>
  <si>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</si>
  <si>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</si>
  <si>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</si>
  <si>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</si>
  <si>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</si>
  <si>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</si>
  <si>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</si>
  <si>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</si>
  <si>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</si>
  <si>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</si>
  <si>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</si>
  <si>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</si>
  <si>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</si>
  <si>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</si>
  <si>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</si>
  <si>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</si>
  <si>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</si>
  <si>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</si>
  <si>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</si>
  <si>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</si>
  <si>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</si>
  <si>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</si>
  <si>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</si>
  <si>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</si>
  <si>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</si>
  <si>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</si>
  <si>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</si>
  <si>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</si>
  <si>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</si>
  <si>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</si>
  <si>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</si>
  <si>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</si>
  <si>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</si>
  <si>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</si>
  <si>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</si>
  <si>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</si>
  <si>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</si>
  <si>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</si>
  <si>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</si>
  <si>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</si>
  <si>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</si>
  <si>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</si>
  <si>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</si>
  <si>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</si>
  <si>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</si>
  <si>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</si>
  <si>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</si>
  <si>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</si>
  <si>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</si>
  <si>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</si>
  <si>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</si>
  <si>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</si>
  <si>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</si>
  <si>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</si>
  <si>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</si>
  <si>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</si>
  <si>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</si>
  <si>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</si>
  <si>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</si>
  <si>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</si>
  <si>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</si>
  <si>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</si>
  <si>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</si>
  <si>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</si>
  <si>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</si>
  <si>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</si>
  <si>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</si>
  <si>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</si>
  <si>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</si>
  <si>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</si>
  <si>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</si>
  <si>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</si>
  <si>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</si>
  <si>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</si>
  <si>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</si>
  <si>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</si>
  <si>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</si>
  <si>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</si>
  <si>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</si>
  <si>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</si>
  <si>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</si>
  <si>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</si>
  <si>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</si>
  <si>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</si>
  <si>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</si>
  <si>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</si>
  <si>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</si>
  <si>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</si>
  <si>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</si>
  <si>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</si>
  <si>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</si>
  <si>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</si>
  <si>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</si>
  <si>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</si>
  <si>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</si>
  <si>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</si>
  <si>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</si>
  <si>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</si>
  <si>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</si>
  <si>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</si>
  <si>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</si>
  <si>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</si>
  <si>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</si>
  <si>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</si>
  <si>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</si>
  <si>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</si>
  <si>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</si>
  <si>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</si>
  <si>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</si>
  <si>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</si>
  <si>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</si>
  <si>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</si>
  <si>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</si>
  <si>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</si>
  <si>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</si>
  <si>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</si>
  <si>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</si>
  <si>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</si>
  <si>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</si>
  <si>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</si>
  <si>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</si>
  <si>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</si>
  <si>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</si>
  <si>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</si>
  <si>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</si>
  <si>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</si>
  <si>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</si>
  <si>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</si>
  <si>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</si>
  <si>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</si>
  <si>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</si>
  <si>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</si>
  <si>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</si>
  <si>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</si>
  <si>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</si>
  <si>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</si>
  <si>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</si>
  <si>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</si>
  <si>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</si>
  <si>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</si>
  <si>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</si>
  <si>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</si>
  <si>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</si>
  <si>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</si>
  <si>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</si>
  <si>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</si>
  <si>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</si>
  <si>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</si>
  <si>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</si>
  <si>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</si>
  <si>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</si>
  <si>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</si>
  <si>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</si>
  <si>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</si>
  <si>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</si>
  <si>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</si>
  <si>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</si>
  <si>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</si>
  <si>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Logo</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</si>
  <si>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</si>
  <si>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</si>
  <si>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</si>
  <si>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</si>
  <si>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</si>
  <si>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</si>
  <si>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</si>
  <si>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</si>
  <si>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</si>
  <si>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</si>
  <si>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</si>
  <si>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</si>
  <si>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</si>
  <si>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</si>
  <si>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</si>
  <si>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</si>
  <si>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</si>
  <si>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</si>
  <si>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</si>
  <si>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</si>
  <si>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</si>
  <si>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</si>
  <si>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</si>
  <si>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</si>
  <si>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</si>
  <si>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</si>
  <si>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</si>
  <si>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</si>
  <si>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</si>
  <si>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Resouces:</t>
  </si>
  <si>
    <t>Excel Dashboard Tutorial Video</t>
  </si>
  <si>
    <t>Adv. Excel Dashboards Course by Chandoo</t>
  </si>
  <si>
    <t>You will get the full workbook in the course!</t>
  </si>
  <si>
    <t>Sum of Quantity</t>
  </si>
  <si>
    <t>Column Labels</t>
  </si>
  <si>
    <t>Grand Total</t>
  </si>
  <si>
    <t>Count of TX ID</t>
  </si>
  <si>
    <t>Sum of Amount</t>
  </si>
  <si>
    <t>Row Labels</t>
  </si>
  <si>
    <t>Sum of Days to Deliver</t>
  </si>
  <si>
    <t>Average of Rating C</t>
  </si>
  <si>
    <t>Average of Days to Deliver</t>
  </si>
  <si>
    <t>👕Quantity</t>
  </si>
  <si>
    <t>💰Amount</t>
  </si>
  <si>
    <t>⭐Rating</t>
  </si>
  <si>
    <t>📅Days to deliver</t>
  </si>
  <si>
    <t>Jan</t>
  </si>
  <si>
    <t>Feb</t>
  </si>
  <si>
    <t>Mar</t>
  </si>
  <si>
    <t>Female</t>
  </si>
  <si>
    <t>Male</t>
  </si>
  <si>
    <t>Other</t>
  </si>
  <si>
    <t>Unknown</t>
  </si>
  <si>
    <t>morethan10</t>
  </si>
  <si>
    <t>6to10</t>
  </si>
  <si>
    <t>state</t>
  </si>
  <si>
    <t>country</t>
  </si>
  <si>
    <t>qty</t>
  </si>
  <si>
    <t>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</si>
</sst>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C09]#,##0"/>
    <numFmt numFmtId="165" formatCode="0.0%"/>
  </numFmts>
  <fonts count="5"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b/>
      <sz val="14"/>
      <color theme="0"/>
      <name val="Aptos Narrow"/>
      <family val="2"/>
      <scheme val="minor"/>
    </font>
  </fonts>
  <fills count="12">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4" tint="0.79998168889431442"/>
        <bgColor theme="4" tint="0.79998168889431442"/>
      </patternFill>
    </fill>
    <fill>
      <patternFill patternType="solid">
        <fgColor theme="3" tint="9.9978637043366805E-2"/>
        <bgColor indexed="64"/>
      </patternFill>
    </fill>
    <fill>
      <patternFill patternType="solid">
        <fgColor theme="4" tint="-0.249977111117893"/>
        <bgColor indexed="64"/>
      </patternFill>
    </fill>
    <fill>
      <patternFill patternType="solid">
        <fgColor theme="4" tint="-0.49998474074526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0" fontId="0" fillId="0" borderId="0" xfId="0" pivotButton="1"/>
    <xf numFmtId="0" fontId="1" fillId="8" borderId="2" xfId="0" applyFont="1" applyFill="1" applyBorder="1"/>
    <xf numFmtId="0" fontId="0" fillId="0" borderId="0" xfId="0" applyAlignment="1">
      <alignment horizontal="left"/>
    </xf>
    <xf numFmtId="0" fontId="0" fillId="9" borderId="0" xfId="0" applyFill="1"/>
    <xf numFmtId="0" fontId="0" fillId="10" borderId="0" xfId="0" applyFill="1"/>
    <xf numFmtId="0" fontId="0" fillId="11" borderId="0" xfId="0" applyFill="1"/>
    <xf numFmtId="0" fontId="4" fillId="11" borderId="0" xfId="0" applyFont="1" applyFill="1"/>
    <xf numFmtId="164" fontId="0" fillId="0" borderId="0" xfId="0" applyNumberFormat="1"/>
    <xf numFmtId="0" fontId="1" fillId="0" borderId="1" xfId="0" applyFont="1" applyBorder="1"/>
    <xf numFmtId="10" fontId="0" fillId="0" borderId="0" xfId="0" applyNumberFormat="1"/>
    <xf numFmtId="165" fontId="0" fillId="0" borderId="0" xfId="0" applyNumberFormat="1"/>
    <xf numFmtId="0" fontId="1" fillId="0" borderId="0" xfId="0" applyFont="1"/>
  </cellXfs>
  <cellStyles count="2">
    <cellStyle name="Hyperlink" xfId="1" builtinId="8"/>
    <cellStyle name="Normal" xfId="0" builtinId="0"/>
  </cellStyles>
  <dxfs count="5">
    <dxf>
      <numFmt numFmtId="0" formatCode="General"/>
    </dxf>
    <dxf>
      <numFmt numFmtId="0" formatCode="General"/>
    </dxf>
    <dxf>
      <numFmt numFmtId="0" formatCode="General"/>
    </dxf>
    <dxf>
      <numFmt numFmtId="166" formatCode="d\-mmm\-yy"/>
    </dxf>
    <dxf>
      <numFmt numFmtId="166"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[ecommerce_dashboard.xlsx]Sheet4!PivotTable9</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Trend in the last 13 weeks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28575" cap="rnd">
            <a:solidFill>
              <a:schemeClr val="accent2"/>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Sheet4!$O$4</c:f>
              <c:strCache>
                <c:ptCount val="1"/>
                <c:pt idx="0">
                  <c:v>Sum of Quantity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Sheet4!$N$5:$N$18</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Sheet4!$O$5:$O$18</c:f>
              <c:numCache>
                <c:formatCode>General</c:formatCode>
                <c:ptCount val="13"/>
                <c:pt idx="0">
                  <c:v>43</c:v>
                </c:pt>
                <c:pt idx="1">
                  <c:v>14</c:v>
                </c:pt>
                <c:pt idx="2">
                  <c:v>15</c:v>
                </c:pt>
                <c:pt idx="3">
                  <c:v>115</c:v>
                </c:pt>
                <c:pt idx="4">
                  <c:v>106</c:v>
                </c:pt>
                <c:pt idx="5">
                  <c:v>125</c:v>
                </c:pt>
                <c:pt idx="6">
                  <c:v>44</c:v>
                </c:pt>
                <c:pt idx="7">
                  <c:v>26</c:v>
                </c:pt>
                <c:pt idx="8">
                  <c:v>51</c:v>
                </c:pt>
                <c:pt idx="9">
                  <c:v>83</c:v>
                </c:pt>
                <c:pt idx="10">
                  <c:v>15</c:v>
                </c:pt>
                <c:pt idx="11">
                  <c:v>67</c:v>
                </c:pt>
                <c:pt idx="12">
                  <c:v>29</c:v>
                </c:pt>
              </c:numCache>
            </c:numRef>
          </c:val>
          <c:smooth val="0"/>
          <c:extLst>
            <c:ext xmlns:c16="http://schemas.microsoft.com/office/drawing/2014/chart" uri="{C3380CC4-5D6E-409C-BE32-E72D297353CC}">
              <c16:uniqueId val="{00000000-5A72-46E6-B82A-5008D0DFD124}"/>
            </c:ext>
          </c:extLst>
        </c:ser>
        <c:dLbls>
          <c:showLegendKey val="0"/>
          <c:showVal val="0"/>
          <c:showCatName val="0"/>
          <c:showSerName val="0"/>
          <c:showPercent val="0"/>
          <c:showBubbleSize val="0"/>
        </c:dLbls>
        <c:marker val="1"/>
        <c:smooth val="0"/>
        <c:axId val="1495097296"/>
        <c:axId val="1495098736"/>
      </c:lineChart>
      <c:lineChart>
        <c:grouping val="standard"/>
        <c:varyColors val="0"/>
        <c:ser>
          <c:idx val="1"/>
          <c:order val="1"/>
          <c:tx>
            <c:strRef>
              <c:f>Sheet4!$P$4</c:f>
              <c:strCache>
                <c:ptCount val="1"/>
                <c:pt idx="0">
                  <c:v>Sum of Amount</c:v>
                </c:pt>
              </c:strCache>
            </c:strRef>
          </c:tx>
          <c:spPr>
            <a:ln w="28575" cap="rnd">
              <a:solidFill>
                <a:schemeClr val="accent4"/>
              </a:solidFill>
              <a:round/>
            </a:ln>
            <a:effectLst/>
          </c:spPr>
          <c:marker>
            <c:symbol val="none"/>
          </c:marker>
          <c:cat>
            <c:strRef>
              <c:f>Sheet4!$N$5:$N$18</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Sheet4!$P$5:$P$18</c:f>
              <c:numCache>
                <c:formatCode>[$$-C09]#,##0</c:formatCode>
                <c:ptCount val="13"/>
                <c:pt idx="0">
                  <c:v>1544.3999999999999</c:v>
                </c:pt>
                <c:pt idx="1">
                  <c:v>768.19999999999993</c:v>
                </c:pt>
                <c:pt idx="2">
                  <c:v>470.20000000000005</c:v>
                </c:pt>
                <c:pt idx="3">
                  <c:v>5443.2</c:v>
                </c:pt>
                <c:pt idx="4">
                  <c:v>4419.4999999999991</c:v>
                </c:pt>
                <c:pt idx="5">
                  <c:v>6110.9999999999991</c:v>
                </c:pt>
                <c:pt idx="6">
                  <c:v>2134.8000000000002</c:v>
                </c:pt>
                <c:pt idx="7">
                  <c:v>1218.5999999999999</c:v>
                </c:pt>
                <c:pt idx="8">
                  <c:v>1944.5000000000002</c:v>
                </c:pt>
                <c:pt idx="9">
                  <c:v>3242.7</c:v>
                </c:pt>
                <c:pt idx="10">
                  <c:v>1012.4</c:v>
                </c:pt>
                <c:pt idx="11">
                  <c:v>3357.2999999999993</c:v>
                </c:pt>
                <c:pt idx="12">
                  <c:v>968.5</c:v>
                </c:pt>
              </c:numCache>
            </c:numRef>
          </c:val>
          <c:smooth val="0"/>
          <c:extLst>
            <c:ext xmlns:c16="http://schemas.microsoft.com/office/drawing/2014/chart" uri="{C3380CC4-5D6E-409C-BE32-E72D297353CC}">
              <c16:uniqueId val="{00000001-5A72-46E6-B82A-5008D0DFD124}"/>
            </c:ext>
          </c:extLst>
        </c:ser>
        <c:dLbls>
          <c:showLegendKey val="0"/>
          <c:showVal val="0"/>
          <c:showCatName val="0"/>
          <c:showSerName val="0"/>
          <c:showPercent val="0"/>
          <c:showBubbleSize val="0"/>
        </c:dLbls>
        <c:marker val="1"/>
        <c:smooth val="0"/>
        <c:axId val="174260640"/>
        <c:axId val="174264000"/>
      </c:lineChart>
      <c:catAx>
        <c:axId val="149509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5098736"/>
        <c:crosses val="autoZero"/>
        <c:auto val="1"/>
        <c:lblAlgn val="ctr"/>
        <c:lblOffset val="100"/>
        <c:noMultiLvlLbl val="0"/>
      </c:catAx>
      <c:valAx>
        <c:axId val="149509873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5097296"/>
        <c:crosses val="autoZero"/>
        <c:crossBetween val="between"/>
      </c:valAx>
      <c:valAx>
        <c:axId val="174264000"/>
        <c:scaling>
          <c:orientation val="minMax"/>
        </c:scaling>
        <c:delete val="0"/>
        <c:axPos val="r"/>
        <c:numFmt formatCode="[$$-C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60640"/>
        <c:crosses val="max"/>
        <c:crossBetween val="between"/>
      </c:valAx>
      <c:catAx>
        <c:axId val="17426064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64000"/>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[ecommerce_dashboard.xlsx]Sheet4!PivotTable3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How many they buy?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Sheet4!$A$15:$A$22</c:f>
              <c:strCache>
                <c:ptCount val="7"/>
                <c:pt idx="0">
                  <c:v>1</c:v>
                </c:pt>
                <c:pt idx="1">
                  <c:v>2</c:v>
                </c:pt>
                <c:pt idx="2">
                  <c:v>3</c:v>
                </c:pt>
                <c:pt idx="3">
                  <c:v>4</c:v>
                </c:pt>
                <c:pt idx="4">
                  <c:v>5</c:v>
                </c:pt>
                <c:pt idx="5">
                  <c:v>6to10</c:v>
                </c:pt>
                <c:pt idx="6">
                  <c:v>morethan10</c:v>
                </c:pt>
              </c:strCache>
            </c:strRef>
          </c:cat>
          <c:val>
            <c:numRef>
              <c:f>Sheet4!$B$15:$B$22</c:f>
              <c:numCache>
                <c:formatCode>General</c:formatCode>
                <c:ptCount val="7"/>
                <c:pt idx="0">
                  <c:v>16</c:v>
                </c:pt>
                <c:pt idx="1">
                  <c:v>30</c:v>
                </c:pt>
                <c:pt idx="2">
                  <c:v>13</c:v>
                </c:pt>
                <c:pt idx="3">
                  <c:v>11</c:v>
                </c:pt>
                <c:pt idx="4">
                  <c:v>10</c:v>
                </c:pt>
                <c:pt idx="5">
                  <c:v>22</c:v>
                </c:pt>
                <c:pt idx="6">
                  <c:v>17</c:v>
                </c:pt>
              </c:numCache>
            </c:numRef>
          </c:val>
          <c:extLst>
            <c:ext xmlns:c16="http://schemas.microsoft.com/office/drawing/2014/chart" uri="{C3380CC4-5D6E-409C-BE32-E72D297353CC}">
              <c16:uniqueId val="{00000000-3C12-417A-A8E9-3B269143422B}"/>
            </c:ext>
          </c:extLst>
        </c:ser>
        <c:dLbls>
          <c:dLblPos val="outEnd"/>
          <c:showLegendKey val="0"/>
          <c:showVal val="1"/>
          <c:showCatName val="0"/>
          <c:showSerName val="0"/>
          <c:showPercent val="0"/>
          <c:showBubbleSize val="0"/>
        </c:dLbls>
        <c:gapWidth val="219"/>
        <c:overlap val="-27"/>
        <c:axId val="413668384"/>
        <c:axId val="413669824"/>
      </c:barChart>
      <c:catAx>
        <c:axId val="4136683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669824"/>
        <c:crosses val="autoZero"/>
        <c:auto val="1"/>
        <c:lblAlgn val="ctr"/>
        <c:lblOffset val="100"/>
        <c:noMultiLvlLbl val="0"/>
      </c:catAx>
      <c:valAx>
        <c:axId val="4136698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668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[ecommerce_dashboard.xlsx]Sheet4!PivotTable4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 products are popular?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Sheet4!$J$26:$J$27</c:f>
              <c:strCache>
                <c:ptCount val="1"/>
                <c:pt idx="0">
                  <c:v>Female</c:v>
                </c:pt>
              </c:strCache>
            </c:strRef>
          </c:tx>
          <c:spPr>
            <a:solidFill>
              <a:schemeClr val="accent1"/>
            </a:solidFill>
            <a:ln>
              <a:noFill/>
            </a:ln>
            <a:effectLst/>
          </c:spPr>
          <c:invertIfNegative val="0"/>
          <c:cat>
            <c:strRef>
              <c:f>Sheet4!$I$28:$I$46</c:f>
              <c:strCache>
                <c:ptCount val="18"/>
                <c:pt idx="0">
                  <c:v>T-Shirts</c:v>
                </c:pt>
                <c:pt idx="1">
                  <c:v>Bikinis</c:v>
                </c:pt>
                <c:pt idx="2">
                  <c:v>Sundresses</c:v>
                </c:pt>
                <c:pt idx="3">
                  <c:v>Shorts</c:v>
                </c:pt>
                <c:pt idx="4">
                  <c:v>Graphic Tees</c:v>
                </c:pt>
                <c:pt idx="5">
                  <c:v>Tank Tops</c:v>
                </c:pt>
                <c:pt idx="6">
                  <c:v>Jeans</c:v>
                </c:pt>
                <c:pt idx="7">
                  <c:v>Sandals</c:v>
                </c:pt>
                <c:pt idx="8">
                  <c:v>Maxi Dresses</c:v>
                </c:pt>
                <c:pt idx="9">
                  <c:v>Sneakers</c:v>
                </c:pt>
                <c:pt idx="10">
                  <c:v>Crop Tops</c:v>
                </c:pt>
                <c:pt idx="11">
                  <c:v>Casual Dresses</c:v>
                </c:pt>
                <c:pt idx="12">
                  <c:v>Hoodies &amp; Sweatshirts</c:v>
                </c:pt>
                <c:pt idx="13">
                  <c:v>Workout Tops</c:v>
                </c:pt>
                <c:pt idx="14">
                  <c:v>Leggings</c:v>
                </c:pt>
                <c:pt idx="15">
                  <c:v>Sunglasses</c:v>
                </c:pt>
                <c:pt idx="16">
                  <c:v>Pajama Sets</c:v>
                </c:pt>
                <c:pt idx="17">
                  <c:v>Baseball Caps</c:v>
                </c:pt>
              </c:strCache>
            </c:strRef>
          </c:cat>
          <c:val>
            <c:numRef>
              <c:f>Sheet4!$J$28:$J$46</c:f>
              <c:numCache>
                <c:formatCode>General</c:formatCode>
                <c:ptCount val="18"/>
                <c:pt idx="0">
                  <c:v>122</c:v>
                </c:pt>
                <c:pt idx="1">
                  <c:v>92</c:v>
                </c:pt>
                <c:pt idx="2">
                  <c:v>82</c:v>
                </c:pt>
                <c:pt idx="3">
                  <c:v>73</c:v>
                </c:pt>
                <c:pt idx="4">
                  <c:v>65</c:v>
                </c:pt>
                <c:pt idx="5">
                  <c:v>53</c:v>
                </c:pt>
                <c:pt idx="6">
                  <c:v>49</c:v>
                </c:pt>
                <c:pt idx="7">
                  <c:v>38</c:v>
                </c:pt>
                <c:pt idx="8">
                  <c:v>32</c:v>
                </c:pt>
                <c:pt idx="9">
                  <c:v>28</c:v>
                </c:pt>
                <c:pt idx="10">
                  <c:v>24</c:v>
                </c:pt>
                <c:pt idx="11">
                  <c:v>22</c:v>
                </c:pt>
                <c:pt idx="12">
                  <c:v>12</c:v>
                </c:pt>
                <c:pt idx="13">
                  <c:v>11</c:v>
                </c:pt>
                <c:pt idx="14">
                  <c:v>9</c:v>
                </c:pt>
                <c:pt idx="15">
                  <c:v>9</c:v>
                </c:pt>
                <c:pt idx="16">
                  <c:v>7</c:v>
                </c:pt>
                <c:pt idx="17">
                  <c:v>5</c:v>
                </c:pt>
              </c:numCache>
            </c:numRef>
          </c:val>
          <c:extLst>
            <c:ext xmlns:c16="http://schemas.microsoft.com/office/drawing/2014/chart" uri="{C3380CC4-5D6E-409C-BE32-E72D297353CC}">
              <c16:uniqueId val="{00000000-ECD0-43A5-B41F-7AABC573D52E}"/>
            </c:ext>
          </c:extLst>
        </c:ser>
        <c:dLbls>
          <c:showLegendKey val="0"/>
          <c:showVal val="0"/>
          <c:showCatName val="0"/>
          <c:showSerName val="0"/>
          <c:showPercent val="0"/>
          <c:showBubbleSize val="0"/>
        </c:dLbls>
        <c:gapWidth val="14"/>
        <c:overlap val="100"/>
        <c:axId val="1445460480"/>
        <c:axId val="1445461440"/>
      </c:barChart>
      <c:catAx>
        <c:axId val="1445460480"/>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461440"/>
        <c:crosses val="autoZero"/>
        <c:auto val="1"/>
        <c:lblAlgn val="ctr"/>
        <c:lblOffset val="100"/>
        <c:noMultiLvlLbl val="0"/>
      </c:catAx>
      <c:valAx>
        <c:axId val="1445461440"/>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460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[ecommerce_dashboard.xlsx]Sheet4!PivotTable7</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pivotFmt>
      <c:pivotFmt>
        <c:idx val="9"/>
      </c:pivotFmt>
      <c:pivotFmt>
        <c:idx val="10"/>
      </c:pivotFmt>
    </c:pivotFmts>
    <c:plotArea>
      <c:layout/>
      <c:doughnutChart>
        <c:varyColors val="1"/>
        <c:ser>
          <c:idx val="0"/>
          <c:order val="0"/>
          <c:tx>
            <c:strRef>
              <c:f>Sheet4!$J$22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566-491D-9CA4-465F751D27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566-491D-9CA4-465F751D27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66-491D-9CA4-465F751D27B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566-491D-9CA4-465F751D27B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Sheet4!$I$23:$I$24</c:f>
              <c:strCache>
                <c:ptCount val="1"/>
                <c:pt idx="0">
                  <c:v>Female</c:v>
                </c:pt>
              </c:strCache>
            </c:strRef>
          </c:cat>
          <c:val>
            <c:numRef>
              <c:f>Sheet4!$J$23:$J$24</c:f>
              <c:numCache>
                <c:formatCode>General</c:formatCode>
                <c:ptCount val="1"/>
                <c:pt idx="0">
                  <c:v>6272</c:v>
                </c:pt>
              </c:numCache>
            </c:numRef>
          </c:val>
          <c:extLst>
            <c:ext xmlns:c16="http://schemas.microsoft.com/office/drawing/2014/chart" uri="{C3380CC4-5D6E-409C-BE32-E72D297353CC}">
              <c16:uniqueId val="{00000008-3566-491D-9CA4-465F751D27BB}"/>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[ecommerce_dashboard.xlsx]Sheet4!PivotTable1</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How long we take to ship the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885290747107312E-2"/>
          <c:y val="0.23236173393124068"/>
          <c:w val="0.89659827732801001"/>
          <c:h val="0.55001294681214175"/>
        </c:manualLayout>
      </c:layout>
      <c:barChart>
        <c:barDir val="col"/>
        <c:grouping val="clustered"/>
        <c:varyColors val="0"/>
        <c:ser>
          <c:idx val="0"/>
          <c:order val="0"/>
          <c:tx>
            <c:strRef>
              <c:f>Sheet4!$B$34</c:f>
              <c:strCache>
                <c:ptCount val="1"/>
                <c:pt idx="0">
                  <c:v>Total</c:v>
                </c:pt>
              </c:strCache>
            </c:strRef>
          </c:tx>
          <c:spPr>
            <a:solidFill>
              <a:schemeClr val="accent1"/>
            </a:solidFill>
            <a:ln>
              <a:noFill/>
            </a:ln>
            <a:effectLst/>
          </c:spPr>
          <c:invertIfNegative val="0"/>
          <c:cat>
            <c:strRef>
              <c:f>Sheet4!$A$35:$A$45</c:f>
              <c:strCache>
                <c:ptCount val="10"/>
                <c:pt idx="0">
                  <c:v>0</c:v>
                </c:pt>
                <c:pt idx="1">
                  <c:v>1</c:v>
                </c:pt>
                <c:pt idx="2">
                  <c:v>2</c:v>
                </c:pt>
                <c:pt idx="3">
                  <c:v>3</c:v>
                </c:pt>
                <c:pt idx="4">
                  <c:v>4</c:v>
                </c:pt>
                <c:pt idx="5">
                  <c:v>5</c:v>
                </c:pt>
                <c:pt idx="6">
                  <c:v>6</c:v>
                </c:pt>
                <c:pt idx="7">
                  <c:v>7</c:v>
                </c:pt>
                <c:pt idx="8">
                  <c:v>8</c:v>
                </c:pt>
                <c:pt idx="9">
                  <c:v>13</c:v>
                </c:pt>
              </c:strCache>
            </c:strRef>
          </c:cat>
          <c:val>
            <c:numRef>
              <c:f>Sheet4!$B$35:$B$45</c:f>
              <c:numCache>
                <c:formatCode>General</c:formatCode>
                <c:ptCount val="10"/>
                <c:pt idx="0">
                  <c:v>8</c:v>
                </c:pt>
                <c:pt idx="1">
                  <c:v>42</c:v>
                </c:pt>
                <c:pt idx="2">
                  <c:v>28</c:v>
                </c:pt>
                <c:pt idx="3">
                  <c:v>14</c:v>
                </c:pt>
                <c:pt idx="4">
                  <c:v>12</c:v>
                </c:pt>
                <c:pt idx="5">
                  <c:v>5</c:v>
                </c:pt>
                <c:pt idx="6">
                  <c:v>6</c:v>
                </c:pt>
                <c:pt idx="7">
                  <c:v>1</c:v>
                </c:pt>
                <c:pt idx="8">
                  <c:v>2</c:v>
                </c:pt>
                <c:pt idx="9">
                  <c:v>1</c:v>
                </c:pt>
              </c:numCache>
            </c:numRef>
          </c:val>
          <c:extLst>
            <c:ext xmlns:c16="http://schemas.microsoft.com/office/drawing/2014/chart" uri="{C3380CC4-5D6E-409C-BE32-E72D297353CC}">
              <c16:uniqueId val="{00000000-97C3-4E05-8DF2-B38EE63535E6}"/>
            </c:ext>
          </c:extLst>
        </c:ser>
        <c:dLbls>
          <c:showLegendKey val="0"/>
          <c:showVal val="0"/>
          <c:showCatName val="0"/>
          <c:showSerName val="0"/>
          <c:showPercent val="0"/>
          <c:showBubbleSize val="0"/>
        </c:dLbls>
        <c:gapWidth val="219"/>
        <c:overlap val="-27"/>
        <c:axId val="634969056"/>
        <c:axId val="634966176"/>
      </c:barChart>
      <c:catAx>
        <c:axId val="6349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966176"/>
        <c:crosses val="autoZero"/>
        <c:auto val="1"/>
        <c:lblAlgn val="ctr"/>
        <c:lblOffset val="100"/>
        <c:noMultiLvlLbl val="0"/>
      </c:catAx>
      <c:valAx>
        <c:axId val="634966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96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[ecommerce_dashboard.xlsx]Sheet4!PivotTable6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How happy are our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247576871965335E-2"/>
          <c:y val="6.665738752352926E-2"/>
          <c:w val="0.89030796150481195"/>
          <c:h val="0.74385684897495918"/>
        </c:manualLayout>
      </c:layout>
      <c:barChart>
        <c:barDir val="col"/>
        <c:grouping val="clustered"/>
        <c:varyColors val="0"/>
        <c:ser>
          <c:idx val="0"/>
          <c:order val="0"/>
          <c:tx>
            <c:strRef>
              <c:f>Sheet4!$E$13:$E$14</c:f>
              <c:strCache>
                <c:ptCount val="1"/>
                <c:pt idx="0">
                  <c:v>1</c:v>
                </c:pt>
              </c:strCache>
            </c:strRef>
          </c:tx>
          <c:spPr>
            <a:solidFill>
              <a:schemeClr val="accent1"/>
            </a:solidFill>
            <a:ln>
              <a:noFill/>
            </a:ln>
            <a:effectLst/>
          </c:spPr>
          <c:invertIfNegative val="0"/>
          <c:cat>
            <c:strRef>
              <c:f>Sheet4!$D$15:$D$18</c:f>
              <c:strCache>
                <c:ptCount val="3"/>
                <c:pt idx="0">
                  <c:v>Jan</c:v>
                </c:pt>
                <c:pt idx="1">
                  <c:v>Feb</c:v>
                </c:pt>
                <c:pt idx="2">
                  <c:v>Mar</c:v>
                </c:pt>
              </c:strCache>
            </c:strRef>
          </c:cat>
          <c:val>
            <c:numRef>
              <c:f>Sheet4!$E$15:$E$18</c:f>
              <c:numCache>
                <c:formatCode>General</c:formatCode>
                <c:ptCount val="3"/>
                <c:pt idx="0">
                  <c:v>2</c:v>
                </c:pt>
                <c:pt idx="1">
                  <c:v>1</c:v>
                </c:pt>
                <c:pt idx="2">
                  <c:v>1</c:v>
                </c:pt>
              </c:numCache>
            </c:numRef>
          </c:val>
          <c:extLst>
            <c:ext xmlns:c16="http://schemas.microsoft.com/office/drawing/2014/chart" uri="{C3380CC4-5D6E-409C-BE32-E72D297353CC}">
              <c16:uniqueId val="{00000000-4BCB-4093-848F-DCBBA3384674}"/>
            </c:ext>
          </c:extLst>
        </c:ser>
        <c:ser>
          <c:idx val="1"/>
          <c:order val="1"/>
          <c:tx>
            <c:strRef>
              <c:f>Sheet4!$F$13:$F$14</c:f>
              <c:strCache>
                <c:ptCount val="1"/>
                <c:pt idx="0">
                  <c:v>2</c:v>
                </c:pt>
              </c:strCache>
            </c:strRef>
          </c:tx>
          <c:spPr>
            <a:solidFill>
              <a:schemeClr val="accent2"/>
            </a:solidFill>
            <a:ln>
              <a:noFill/>
            </a:ln>
            <a:effectLst/>
          </c:spPr>
          <c:invertIfNegative val="0"/>
          <c:cat>
            <c:strRef>
              <c:f>Sheet4!$D$15:$D$18</c:f>
              <c:strCache>
                <c:ptCount val="3"/>
                <c:pt idx="0">
                  <c:v>Jan</c:v>
                </c:pt>
                <c:pt idx="1">
                  <c:v>Feb</c:v>
                </c:pt>
                <c:pt idx="2">
                  <c:v>Mar</c:v>
                </c:pt>
              </c:strCache>
            </c:strRef>
          </c:cat>
          <c:val>
            <c:numRef>
              <c:f>Sheet4!$F$15:$F$18</c:f>
              <c:numCache>
                <c:formatCode>General</c:formatCode>
                <c:ptCount val="3"/>
                <c:pt idx="1">
                  <c:v>1</c:v>
                </c:pt>
                <c:pt idx="2">
                  <c:v>5</c:v>
                </c:pt>
              </c:numCache>
            </c:numRef>
          </c:val>
          <c:extLst>
            <c:ext xmlns:c16="http://schemas.microsoft.com/office/drawing/2014/chart" uri="{C3380CC4-5D6E-409C-BE32-E72D297353CC}">
              <c16:uniqueId val="{00000001-4BCB-4093-848F-DCBBA3384674}"/>
            </c:ext>
          </c:extLst>
        </c:ser>
        <c:ser>
          <c:idx val="2"/>
          <c:order val="2"/>
          <c:tx>
            <c:strRef>
              <c:f>Sheet4!$G$13:$G$14</c:f>
              <c:strCache>
                <c:ptCount val="1"/>
                <c:pt idx="0">
                  <c:v>3</c:v>
                </c:pt>
              </c:strCache>
            </c:strRef>
          </c:tx>
          <c:spPr>
            <a:solidFill>
              <a:schemeClr val="accent3"/>
            </a:solidFill>
            <a:ln>
              <a:noFill/>
            </a:ln>
            <a:effectLst/>
          </c:spPr>
          <c:invertIfNegative val="0"/>
          <c:cat>
            <c:strRef>
              <c:f>Sheet4!$D$15:$D$18</c:f>
              <c:strCache>
                <c:ptCount val="3"/>
                <c:pt idx="0">
                  <c:v>Jan</c:v>
                </c:pt>
                <c:pt idx="1">
                  <c:v>Feb</c:v>
                </c:pt>
                <c:pt idx="2">
                  <c:v>Mar</c:v>
                </c:pt>
              </c:strCache>
            </c:strRef>
          </c:cat>
          <c:val>
            <c:numRef>
              <c:f>Sheet4!$G$15:$G$18</c:f>
              <c:numCache>
                <c:formatCode>General</c:formatCode>
                <c:ptCount val="3"/>
                <c:pt idx="0">
                  <c:v>8</c:v>
                </c:pt>
                <c:pt idx="1">
                  <c:v>2</c:v>
                </c:pt>
                <c:pt idx="2">
                  <c:v>4</c:v>
                </c:pt>
              </c:numCache>
            </c:numRef>
          </c:val>
          <c:extLst>
            <c:ext xmlns:c16="http://schemas.microsoft.com/office/drawing/2014/chart" uri="{C3380CC4-5D6E-409C-BE32-E72D297353CC}">
              <c16:uniqueId val="{00000002-4BCB-4093-848F-DCBBA3384674}"/>
            </c:ext>
          </c:extLst>
        </c:ser>
        <c:ser>
          <c:idx val="3"/>
          <c:order val="3"/>
          <c:tx>
            <c:strRef>
              <c:f>Sheet4!$H$13:$H$14</c:f>
              <c:strCache>
                <c:ptCount val="1"/>
                <c:pt idx="0">
                  <c:v>4</c:v>
                </c:pt>
              </c:strCache>
            </c:strRef>
          </c:tx>
          <c:spPr>
            <a:solidFill>
              <a:schemeClr val="accent4"/>
            </a:solidFill>
            <a:ln>
              <a:noFill/>
            </a:ln>
            <a:effectLst/>
          </c:spPr>
          <c:invertIfNegative val="0"/>
          <c:cat>
            <c:strRef>
              <c:f>Sheet4!$D$15:$D$18</c:f>
              <c:strCache>
                <c:ptCount val="3"/>
                <c:pt idx="0">
                  <c:v>Jan</c:v>
                </c:pt>
                <c:pt idx="1">
                  <c:v>Feb</c:v>
                </c:pt>
                <c:pt idx="2">
                  <c:v>Mar</c:v>
                </c:pt>
              </c:strCache>
            </c:strRef>
          </c:cat>
          <c:val>
            <c:numRef>
              <c:f>Sheet4!$H$15:$H$18</c:f>
              <c:numCache>
                <c:formatCode>General</c:formatCode>
                <c:ptCount val="3"/>
                <c:pt idx="0">
                  <c:v>27</c:v>
                </c:pt>
                <c:pt idx="1">
                  <c:v>19</c:v>
                </c:pt>
                <c:pt idx="2">
                  <c:v>10</c:v>
                </c:pt>
              </c:numCache>
            </c:numRef>
          </c:val>
          <c:extLst>
            <c:ext xmlns:c16="http://schemas.microsoft.com/office/drawing/2014/chart" uri="{C3380CC4-5D6E-409C-BE32-E72D297353CC}">
              <c16:uniqueId val="{00000003-4BCB-4093-848F-DCBBA3384674}"/>
            </c:ext>
          </c:extLst>
        </c:ser>
        <c:ser>
          <c:idx val="4"/>
          <c:order val="4"/>
          <c:tx>
            <c:strRef>
              <c:f>Sheet4!$I$13:$I$14</c:f>
              <c:strCache>
                <c:ptCount val="1"/>
                <c:pt idx="0">
                  <c:v>5</c:v>
                </c:pt>
              </c:strCache>
            </c:strRef>
          </c:tx>
          <c:spPr>
            <a:solidFill>
              <a:schemeClr val="accent5"/>
            </a:solidFill>
            <a:ln>
              <a:noFill/>
            </a:ln>
            <a:effectLst/>
          </c:spPr>
          <c:invertIfNegative val="0"/>
          <c:cat>
            <c:strRef>
              <c:f>Sheet4!$D$15:$D$18</c:f>
              <c:strCache>
                <c:ptCount val="3"/>
                <c:pt idx="0">
                  <c:v>Jan</c:v>
                </c:pt>
                <c:pt idx="1">
                  <c:v>Feb</c:v>
                </c:pt>
                <c:pt idx="2">
                  <c:v>Mar</c:v>
                </c:pt>
              </c:strCache>
            </c:strRef>
          </c:cat>
          <c:val>
            <c:numRef>
              <c:f>Sheet4!$I$15:$I$18</c:f>
              <c:numCache>
                <c:formatCode>General</c:formatCode>
                <c:ptCount val="3"/>
                <c:pt idx="0">
                  <c:v>8</c:v>
                </c:pt>
                <c:pt idx="1">
                  <c:v>20</c:v>
                </c:pt>
                <c:pt idx="2">
                  <c:v>11</c:v>
                </c:pt>
              </c:numCache>
            </c:numRef>
          </c:val>
          <c:extLst>
            <c:ext xmlns:c16="http://schemas.microsoft.com/office/drawing/2014/chart" uri="{C3380CC4-5D6E-409C-BE32-E72D297353CC}">
              <c16:uniqueId val="{00000009-4BCB-4093-848F-DCBBA3384674}"/>
            </c:ext>
          </c:extLst>
        </c:ser>
        <c:dLbls>
          <c:showLegendKey val="0"/>
          <c:showVal val="0"/>
          <c:showCatName val="0"/>
          <c:showSerName val="0"/>
          <c:showPercent val="0"/>
          <c:showBubbleSize val="0"/>
        </c:dLbls>
        <c:gapWidth val="219"/>
        <c:overlap val="-27"/>
        <c:axId val="1071348960"/>
        <c:axId val="457610768"/>
      </c:barChart>
      <c:catAx>
        <c:axId val="1071348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610768"/>
        <c:crosses val="autoZero"/>
        <c:auto val="1"/>
        <c:lblAlgn val="ctr"/>
        <c:lblOffset val="100"/>
        <c:noMultiLvlLbl val="0"/>
      </c:catAx>
      <c:valAx>
        <c:axId val="457610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1348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image" Target="../media/image1.emf"/><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hyperlink" Target="https://chandoo.org/wp/" TargetMode="External"/></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chandoo.org/wp/" TargetMode="External"/><Relationship Id="rId1" Type="http://schemas.openxmlformats.org/officeDocument/2006/relationships/image" Target="../media/image5.png"/><Relationship Id="rId5" Type="http://schemas.openxmlformats.org/officeDocument/2006/relationships/image" Target="../media/image6.png"/><Relationship Id="rId4" Type="http://schemas.openxmlformats.org/officeDocument/2006/relationships/hyperlink" Target="https://chandoo.org/wp/excel-school-program/" TargetMode="Externa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1</xdr:col>
      <xdr:colOff>83820</xdr:colOff>
      <xdr:row>2</xdr:row>
      <xdr:rowOff>82296</xdr:rowOff>
    </xdr:from>
    <xdr:to>
      <xdr:col>1</xdr:col>
      <xdr:colOff>876300</xdr:colOff>
      <xdr:row>4</xdr:row>
      <xdr:rowOff>53340</xdr:rowOff>
    </xdr:to>
    <xdr:sp macro="" textlink="Sheet1!G4">
      <xdr:nvSpPr>
        <xdr:cNvPr id="7" name="TextBox 6">
          <a:extLst>
            <a:ext uri="{FF2B5EF4-FFF2-40B4-BE49-F238E27FC236}">
              <a16:creationId xmlns:a16="http://schemas.microsoft.com/office/drawing/2014/main" id="{1737B672-1655-99C7-A241-D6F1EE76A090}"/>
            </a:ext>
          </a:extLst>
        </xdr:cNvPr>
        <xdr:cNvSpPr txBox="1"/>
      </xdr:nvSpPr>
      <xdr:spPr>
        <a:xfrm>
          <a:off x="281940" y="539496"/>
          <a:ext cx="792480" cy="336804"/>
        </a:xfrm>
        <a:prstGeom prst="rect">
          <a:avLst/>
        </a:prstGeom>
        <a:solidFill>
          <a:schemeClr val="accent1">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647039E5-07C1-4417-AA81-A38F555F3CF2}" type="TxLink">
            <a:rPr lang="en-US" sz="2000" b="1" i="0" u="none" strike="noStrike">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Aptos Narrow"/>
            </a:rPr>
            <a:pPr/>
            <a:t>119</a:t>
          </a:fld>
          <a:endParaRPr lang="en-IN" sz="2000" b="1">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endParaRPr>
        </a:p>
      </xdr:txBody>
    </xdr:sp>
    <xdr:clientData/>
  </xdr:twoCellAnchor>
  <xdr:twoCellAnchor>
    <xdr:from>
      <xdr:col>0</xdr:col>
      <xdr:colOff>190500</xdr:colOff>
      <xdr:row>4</xdr:row>
      <xdr:rowOff>217932</xdr:rowOff>
    </xdr:from>
    <xdr:to>
      <xdr:col>2</xdr:col>
      <xdr:colOff>99060</xdr:colOff>
      <xdr:row>7</xdr:row>
      <xdr:rowOff>88392</xdr:rowOff>
    </xdr:to>
    <xdr:sp macro="" textlink="Sheet1!F4">
      <xdr:nvSpPr>
        <xdr:cNvPr id="8" name="TextBox 7">
          <a:extLst>
            <a:ext uri="{FF2B5EF4-FFF2-40B4-BE49-F238E27FC236}">
              <a16:creationId xmlns:a16="http://schemas.microsoft.com/office/drawing/2014/main" id="{F979C6F4-5855-43C1-A314-253B7D157351}"/>
            </a:ext>
          </a:extLst>
        </xdr:cNvPr>
        <xdr:cNvSpPr txBox="1"/>
      </xdr:nvSpPr>
      <xdr:spPr>
        <a:xfrm>
          <a:off x="190500" y="1040892"/>
          <a:ext cx="1386840" cy="464820"/>
        </a:xfrm>
        <a:prstGeom prst="rect">
          <a:avLst/>
        </a:prstGeom>
        <a:solidFill>
          <a:schemeClr val="accent1">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6D54F265-2F4A-417B-A2D4-1FB12EA01648}" type="TxLink">
            <a:rPr lang="en-US" sz="2000" b="1" i="0" u="none" strike="noStrike">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Aptos Narrow"/>
            </a:rPr>
            <a:pPr/>
            <a:t>733</a:t>
          </a:fld>
          <a:endParaRPr lang="en-IN" sz="2000" b="1">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endParaRPr>
        </a:p>
      </xdr:txBody>
    </xdr:sp>
    <xdr:clientData/>
  </xdr:twoCellAnchor>
  <xdr:twoCellAnchor>
    <xdr:from>
      <xdr:col>1</xdr:col>
      <xdr:colOff>7620</xdr:colOff>
      <xdr:row>9</xdr:row>
      <xdr:rowOff>18288</xdr:rowOff>
    </xdr:from>
    <xdr:to>
      <xdr:col>2</xdr:col>
      <xdr:colOff>91440</xdr:colOff>
      <xdr:row>11</xdr:row>
      <xdr:rowOff>3048</xdr:rowOff>
    </xdr:to>
    <xdr:sp macro="" textlink="Sheet1!I4">
      <xdr:nvSpPr>
        <xdr:cNvPr id="9" name="TextBox 8">
          <a:extLst>
            <a:ext uri="{FF2B5EF4-FFF2-40B4-BE49-F238E27FC236}">
              <a16:creationId xmlns:a16="http://schemas.microsoft.com/office/drawing/2014/main" id="{C73B9C2A-125E-4D3B-958B-202F7D5B1EBC}"/>
            </a:ext>
          </a:extLst>
        </xdr:cNvPr>
        <xdr:cNvSpPr txBox="1"/>
      </xdr:nvSpPr>
      <xdr:spPr>
        <a:xfrm>
          <a:off x="205740" y="1847088"/>
          <a:ext cx="1363980" cy="350520"/>
        </a:xfrm>
        <a:prstGeom prst="rect">
          <a:avLst/>
        </a:prstGeom>
        <a:solidFill>
          <a:schemeClr val="accent1">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5FB3573A-42AC-4291-82EF-95D290672E5F}" type="TxLink">
            <a:rPr lang="en-US" sz="2000" b="1" i="0" u="none" strike="noStrike">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Aptos Narrow"/>
            </a:rPr>
            <a:pPr/>
            <a:t>$32.6</a:t>
          </a:fld>
          <a:endParaRPr lang="en-IN" sz="2000" b="1">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endParaRPr>
        </a:p>
      </xdr:txBody>
    </xdr:sp>
    <xdr:clientData/>
  </xdr:twoCellAnchor>
  <xdr:twoCellAnchor>
    <xdr:from>
      <xdr:col>1</xdr:col>
      <xdr:colOff>15240</xdr:colOff>
      <xdr:row>13</xdr:row>
      <xdr:rowOff>1524</xdr:rowOff>
    </xdr:from>
    <xdr:to>
      <xdr:col>1</xdr:col>
      <xdr:colOff>807720</xdr:colOff>
      <xdr:row>15</xdr:row>
      <xdr:rowOff>1524</xdr:rowOff>
    </xdr:to>
    <xdr:sp macro="" textlink="Sheet1!H4">
      <xdr:nvSpPr>
        <xdr:cNvPr id="10" name="TextBox 9">
          <a:extLst>
            <a:ext uri="{FF2B5EF4-FFF2-40B4-BE49-F238E27FC236}">
              <a16:creationId xmlns:a16="http://schemas.microsoft.com/office/drawing/2014/main" id="{344122BE-D44F-498B-8C67-33B10BE57B80}"/>
            </a:ext>
          </a:extLst>
        </xdr:cNvPr>
        <xdr:cNvSpPr txBox="1"/>
      </xdr:nvSpPr>
      <xdr:spPr>
        <a:xfrm>
          <a:off x="213360" y="2607564"/>
          <a:ext cx="792480" cy="365760"/>
        </a:xfrm>
        <a:prstGeom prst="rect">
          <a:avLst/>
        </a:prstGeom>
        <a:solidFill>
          <a:schemeClr val="accent1">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942542F4-BB5A-4A0E-9EB9-CD5D2F754E23}" type="TxLink">
            <a:rPr lang="en-US" sz="2000" b="1" i="0" u="none" strike="noStrike">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Aptos Narrow"/>
            </a:rPr>
            <a:pPr/>
            <a:t>4.0</a:t>
          </a:fld>
          <a:endParaRPr lang="en-IN" sz="2000" b="1">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endParaRPr>
        </a:p>
      </xdr:txBody>
    </xdr:sp>
    <xdr:clientData/>
  </xdr:twoCellAnchor>
  <xdr:twoCellAnchor>
    <xdr:from>
      <xdr:col>1</xdr:col>
      <xdr:colOff>99060</xdr:colOff>
      <xdr:row>17</xdr:row>
      <xdr:rowOff>7620</xdr:rowOff>
    </xdr:from>
    <xdr:to>
      <xdr:col>1</xdr:col>
      <xdr:colOff>891540</xdr:colOff>
      <xdr:row>19</xdr:row>
      <xdr:rowOff>106680</xdr:rowOff>
    </xdr:to>
    <xdr:sp macro="" textlink="Sheet1!J4">
      <xdr:nvSpPr>
        <xdr:cNvPr id="11" name="TextBox 10">
          <a:extLst>
            <a:ext uri="{FF2B5EF4-FFF2-40B4-BE49-F238E27FC236}">
              <a16:creationId xmlns:a16="http://schemas.microsoft.com/office/drawing/2014/main" id="{B900927A-CDA5-41DB-B69B-677FB773735E}"/>
            </a:ext>
          </a:extLst>
        </xdr:cNvPr>
        <xdr:cNvSpPr txBox="1"/>
      </xdr:nvSpPr>
      <xdr:spPr>
        <a:xfrm>
          <a:off x="297180" y="3390900"/>
          <a:ext cx="792480" cy="464820"/>
        </a:xfrm>
        <a:prstGeom prst="rect">
          <a:avLst/>
        </a:prstGeom>
        <a:solidFill>
          <a:schemeClr val="accent1">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D6E19967-BC83-4CF9-B0AD-4A8D7F060F2B}" type="TxLink">
            <a:rPr lang="en-US" sz="2000" b="1" i="0" u="none" strike="noStrike">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Aptos Narrow"/>
            </a:rPr>
            <a:pPr/>
            <a:t>2.4</a:t>
          </a:fld>
          <a:endParaRPr lang="en-IN" sz="2000" b="1">
            <a:gradFill>
              <a:gsLst>
                <a:gs pos="100000">
                  <a:schemeClr val="bg1"/>
                </a:gs>
                <a:gs pos="0">
                  <a:schemeClr val="tx1"/>
                </a:gs>
                <a:gs pos="4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endParaRPr>
        </a:p>
      </xdr:txBody>
    </xdr:sp>
    <xdr:clientData/>
  </xdr:twoCellAnchor>
  <xdr:twoCellAnchor>
    <xdr:from>
      <xdr:col>0</xdr:col>
      <xdr:colOff>152400</xdr:colOff>
      <xdr:row>1</xdr:row>
      <xdr:rowOff>106680</xdr:rowOff>
    </xdr:from>
    <xdr:to>
      <xdr:col>1</xdr:col>
      <xdr:colOff>861060</xdr:colOff>
      <xdr:row>2</xdr:row>
      <xdr:rowOff>137160</xdr:rowOff>
    </xdr:to>
    <xdr:sp macro="" textlink="">
      <xdr:nvSpPr>
        <xdr:cNvPr id="12" name="TextBox 11">
          <a:extLst>
            <a:ext uri="{FF2B5EF4-FFF2-40B4-BE49-F238E27FC236}">
              <a16:creationId xmlns:a16="http://schemas.microsoft.com/office/drawing/2014/main" id="{18D59C62-6480-25BA-72D8-4F2DFCC28D2F}"/>
            </a:ext>
          </a:extLst>
        </xdr:cNvPr>
        <xdr:cNvSpPr txBox="1"/>
      </xdr:nvSpPr>
      <xdr:spPr>
        <a:xfrm>
          <a:off x="152400" y="289560"/>
          <a:ext cx="906780" cy="304800"/>
        </a:xfrm>
        <a:prstGeom prst="rect">
          <a:avLst/>
        </a:prstGeom>
        <a:solidFill>
          <a:schemeClr val="accent1">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i="0" u="none" strike="noStrike">
              <a:solidFill>
                <a:schemeClr val="bg1">
                  <a:lumMod val="85000"/>
                </a:schemeClr>
              </a:solidFill>
              <a:effectLst/>
              <a:latin typeface="+mn-lt"/>
              <a:ea typeface="+mn-ea"/>
              <a:cs typeface="+mn-cs"/>
            </a:rPr>
            <a:t>🛒</a:t>
          </a:r>
          <a:r>
            <a:rPr lang="en-IN" sz="1200" b="1">
              <a:solidFill>
                <a:schemeClr val="bg1">
                  <a:lumMod val="85000"/>
                </a:schemeClr>
              </a:solidFill>
            </a:rPr>
            <a:t>Orders</a:t>
          </a:r>
        </a:p>
      </xdr:txBody>
    </xdr:sp>
    <xdr:clientData/>
  </xdr:twoCellAnchor>
  <xdr:twoCellAnchor>
    <xdr:from>
      <xdr:col>3</xdr:col>
      <xdr:colOff>45720</xdr:colOff>
      <xdr:row>1</xdr:row>
      <xdr:rowOff>76200</xdr:rowOff>
    </xdr:from>
    <xdr:to>
      <xdr:col>8</xdr:col>
      <xdr:colOff>396240</xdr:colOff>
      <xdr:row>15</xdr:row>
      <xdr:rowOff>106680</xdr:rowOff>
    </xdr:to>
    <xdr:graphicFrame macro="">
      <xdr:nvGraphicFramePr>
        <xdr:cNvPr id="14" name="Chart 13">
          <a:extLst>
            <a:ext uri="{FF2B5EF4-FFF2-40B4-BE49-F238E27FC236}">
              <a16:creationId xmlns:a16="http://schemas.microsoft.com/office/drawing/2014/main" id="{CE9B99F1-8231-41EE-8FDD-EC1D12AD4D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525780</xdr:colOff>
      <xdr:row>1</xdr:row>
      <xdr:rowOff>106680</xdr:rowOff>
    </xdr:from>
    <xdr:to>
      <xdr:col>14</xdr:col>
      <xdr:colOff>76200</xdr:colOff>
      <xdr:row>15</xdr:row>
      <xdr:rowOff>83820</xdr:rowOff>
    </xdr:to>
    <xdr:sp macro="" textlink="">
      <xdr:nvSpPr>
        <xdr:cNvPr id="17" name="Rectangle 16">
          <a:extLst>
            <a:ext uri="{FF2B5EF4-FFF2-40B4-BE49-F238E27FC236}">
              <a16:creationId xmlns:a16="http://schemas.microsoft.com/office/drawing/2014/main" id="{11FADB89-41F8-17BC-7C81-9E6C4D7EB3B8}"/>
            </a:ext>
          </a:extLst>
        </xdr:cNvPr>
        <xdr:cNvSpPr/>
      </xdr:nvSpPr>
      <xdr:spPr>
        <a:xfrm>
          <a:off x="5684520" y="289560"/>
          <a:ext cx="3208020" cy="27660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9</xdr:col>
          <xdr:colOff>121920</xdr:colOff>
          <xdr:row>3</xdr:row>
          <xdr:rowOff>15240</xdr:rowOff>
        </xdr:from>
        <xdr:to>
          <xdr:col>14</xdr:col>
          <xdr:colOff>281940</xdr:colOff>
          <xdr:row>11</xdr:row>
          <xdr:rowOff>160020</xdr:rowOff>
        </xdr:to>
        <xdr:pic>
          <xdr:nvPicPr>
            <xdr:cNvPr id="16" name="Picture 15">
              <a:extLst>
                <a:ext uri="{FF2B5EF4-FFF2-40B4-BE49-F238E27FC236}">
                  <a16:creationId xmlns:a16="http://schemas.microsoft.com/office/drawing/2014/main" id="{56A53A1A-0B72-834D-CE70-437DAE411F9F}"/>
                </a:ext>
              </a:extLst>
            </xdr:cNvPr>
            <xdr:cNvPicPr>
              <a:picLocks noChangeAspect="1" noChangeArrowheads="1"/>
              <a:extLst>
                <a:ext uri="{84589F7E-364E-4C9E-8A38-B11213B215E9}">
                  <a14:cameraTool cellRange="Sheet4!$H$4:$M$9" spid="_x0000_s7191"/>
                </a:ext>
              </a:extLst>
            </xdr:cNvPicPr>
          </xdr:nvPicPr>
          <xdr:blipFill>
            <a:blip xmlns:r="http://schemas.openxmlformats.org/officeDocument/2006/relationships" r:embed="rId2"/>
            <a:srcRect/>
            <a:stretch>
              <a:fillRect/>
            </a:stretch>
          </xdr:blipFill>
          <xdr:spPr bwMode="auto">
            <a:xfrm>
              <a:off x="5890260" y="655320"/>
              <a:ext cx="3208020" cy="169926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14</xdr:col>
      <xdr:colOff>205740</xdr:colOff>
      <xdr:row>1</xdr:row>
      <xdr:rowOff>238645</xdr:rowOff>
    </xdr:from>
    <xdr:to>
      <xdr:col>18</xdr:col>
      <xdr:colOff>83820</xdr:colOff>
      <xdr:row>14</xdr:row>
      <xdr:rowOff>119496</xdr:rowOff>
    </xdr:to>
    <xdr:graphicFrame macro="">
      <xdr:nvGraphicFramePr>
        <xdr:cNvPr id="18" name="Chart 17">
          <a:extLst>
            <a:ext uri="{FF2B5EF4-FFF2-40B4-BE49-F238E27FC236}">
              <a16:creationId xmlns:a16="http://schemas.microsoft.com/office/drawing/2014/main" id="{E3404C23-C658-4CC9-A96C-8D8B8B74B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53340</xdr:colOff>
      <xdr:row>16</xdr:row>
      <xdr:rowOff>152400</xdr:rowOff>
    </xdr:from>
    <xdr:to>
      <xdr:col>8</xdr:col>
      <xdr:colOff>601980</xdr:colOff>
      <xdr:row>38</xdr:row>
      <xdr:rowOff>15240</xdr:rowOff>
    </xdr:to>
    <xdr:graphicFrame macro="">
      <xdr:nvGraphicFramePr>
        <xdr:cNvPr id="19" name="Chart 18">
          <a:extLst>
            <a:ext uri="{FF2B5EF4-FFF2-40B4-BE49-F238E27FC236}">
              <a16:creationId xmlns:a16="http://schemas.microsoft.com/office/drawing/2014/main" id="{BD7132D6-00A5-4017-A1E4-D59B8F59CC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274320</xdr:colOff>
      <xdr:row>25</xdr:row>
      <xdr:rowOff>114300</xdr:rowOff>
    </xdr:from>
    <xdr:to>
      <xdr:col>7</xdr:col>
      <xdr:colOff>7620</xdr:colOff>
      <xdr:row>36</xdr:row>
      <xdr:rowOff>45720</xdr:rowOff>
    </xdr:to>
    <xdr:graphicFrame macro="">
      <xdr:nvGraphicFramePr>
        <xdr:cNvPr id="20" name="Chart 19">
          <a:extLst>
            <a:ext uri="{FF2B5EF4-FFF2-40B4-BE49-F238E27FC236}">
              <a16:creationId xmlns:a16="http://schemas.microsoft.com/office/drawing/2014/main" id="{BCE208E1-5CF2-4A07-B669-C579B3706B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137160</xdr:colOff>
      <xdr:row>16</xdr:row>
      <xdr:rowOff>213360</xdr:rowOff>
    </xdr:from>
    <xdr:to>
      <xdr:col>18</xdr:col>
      <xdr:colOff>76200</xdr:colOff>
      <xdr:row>25</xdr:row>
      <xdr:rowOff>99060</xdr:rowOff>
    </xdr:to>
    <xdr:graphicFrame macro="">
      <xdr:nvGraphicFramePr>
        <xdr:cNvPr id="21" name="Chart 20">
          <a:extLst>
            <a:ext uri="{FF2B5EF4-FFF2-40B4-BE49-F238E27FC236}">
              <a16:creationId xmlns:a16="http://schemas.microsoft.com/office/drawing/2014/main" id="{65C79B2C-DCD3-4A2C-AA4F-339EB2D201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152400</xdr:colOff>
      <xdr:row>25</xdr:row>
      <xdr:rowOff>160020</xdr:rowOff>
    </xdr:from>
    <xdr:to>
      <xdr:col>18</xdr:col>
      <xdr:colOff>99060</xdr:colOff>
      <xdr:row>37</xdr:row>
      <xdr:rowOff>121920</xdr:rowOff>
    </xdr:to>
    <xdr:graphicFrame macro="">
      <xdr:nvGraphicFramePr>
        <xdr:cNvPr id="22" name="Chart 21">
          <a:extLst>
            <a:ext uri="{FF2B5EF4-FFF2-40B4-BE49-F238E27FC236}">
              <a16:creationId xmlns:a16="http://schemas.microsoft.com/office/drawing/2014/main" id="{D34B5D1D-CC65-4F93-BB9F-1F9351B485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0</xdr:colOff>
      <xdr:row>19</xdr:row>
      <xdr:rowOff>0</xdr:rowOff>
    </xdr:from>
    <xdr:to>
      <xdr:col>2</xdr:col>
      <xdr:colOff>281940</xdr:colOff>
      <xdr:row>28</xdr:row>
      <xdr:rowOff>167640</xdr:rowOff>
    </xdr:to>
    <mc:AlternateContent xmlns:mc="http://schemas.openxmlformats.org/markup-compatibility/2006" xmlns:a14="http://schemas.microsoft.com/office/drawing/2010/main">
      <mc:Choice Requires="a14">
        <xdr:graphicFrame macro="">
          <xdr:nvGraphicFramePr>
            <xdr:cNvPr id="25" name="Order Mode">
              <a:extLst>
                <a:ext uri="{FF2B5EF4-FFF2-40B4-BE49-F238E27FC236}">
                  <a16:creationId xmlns:a16="http://schemas.microsoft.com/office/drawing/2014/main" id="{12AFC529-FE78-4C82-974E-8BA7B7283A0A}"/>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mlns="">
        <xdr:sp macro="" textlink="">
          <xdr:nvSpPr>
            <xdr:cNvPr id="0" name=""/>
            <xdr:cNvSpPr>
              <a:spLocks noTextEdit="1"/>
            </xdr:cNvSpPr>
          </xdr:nvSpPr>
          <xdr:spPr>
            <a:xfrm>
              <a:off x="198120" y="3749040"/>
              <a:ext cx="1562100" cy="1813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30</xdr:row>
      <xdr:rowOff>0</xdr:rowOff>
    </xdr:from>
    <xdr:to>
      <xdr:col>2</xdr:col>
      <xdr:colOff>320040</xdr:colOff>
      <xdr:row>38</xdr:row>
      <xdr:rowOff>60960</xdr:rowOff>
    </xdr:to>
    <mc:AlternateContent xmlns:mc="http://schemas.openxmlformats.org/markup-compatibility/2006" xmlns:a14="http://schemas.microsoft.com/office/drawing/2010/main">
      <mc:Choice Requires="a14">
        <xdr:graphicFrame macro="">
          <xdr:nvGraphicFramePr>
            <xdr:cNvPr id="26" name="Gender Value">
              <a:extLst>
                <a:ext uri="{FF2B5EF4-FFF2-40B4-BE49-F238E27FC236}">
                  <a16:creationId xmlns:a16="http://schemas.microsoft.com/office/drawing/2014/main" id="{D0066A67-1081-47FE-AA2C-733777893A47}"/>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198120" y="5760720"/>
              <a:ext cx="16002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419100</xdr:colOff>
      <xdr:row>1</xdr:row>
      <xdr:rowOff>175260</xdr:rowOff>
    </xdr:from>
    <xdr:to>
      <xdr:col>13</xdr:col>
      <xdr:colOff>121920</xdr:colOff>
      <xdr:row>2</xdr:row>
      <xdr:rowOff>137160</xdr:rowOff>
    </xdr:to>
    <xdr:sp macro="" textlink="">
      <xdr:nvSpPr>
        <xdr:cNvPr id="27" name="TextBox 26">
          <a:extLst>
            <a:ext uri="{FF2B5EF4-FFF2-40B4-BE49-F238E27FC236}">
              <a16:creationId xmlns:a16="http://schemas.microsoft.com/office/drawing/2014/main" id="{6F502EE4-A985-1655-43EA-078C6C43E0A8}"/>
            </a:ext>
          </a:extLst>
        </xdr:cNvPr>
        <xdr:cNvSpPr txBox="1"/>
      </xdr:nvSpPr>
      <xdr:spPr>
        <a:xfrm>
          <a:off x="6187440" y="358140"/>
          <a:ext cx="2141220" cy="236220"/>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50000"/>
                </a:schemeClr>
              </a:solidFill>
            </a:rPr>
            <a:t>How our customers like to buy</a:t>
          </a:r>
        </a:p>
      </xdr:txBody>
    </xdr:sp>
    <xdr:clientData/>
  </xdr:twoCellAnchor>
  <xdr:twoCellAnchor editAs="oneCell">
    <xdr:from>
      <xdr:col>0</xdr:col>
      <xdr:colOff>76201</xdr:colOff>
      <xdr:row>0</xdr:row>
      <xdr:rowOff>0</xdr:rowOff>
    </xdr:from>
    <xdr:to>
      <xdr:col>1</xdr:col>
      <xdr:colOff>1219201</xdr:colOff>
      <xdr:row>1</xdr:row>
      <xdr:rowOff>205000</xdr:rowOff>
    </xdr:to>
    <xdr:pic>
      <xdr:nvPicPr>
        <xdr:cNvPr id="28" name="Picture 27">
          <a:extLst>
            <a:ext uri="{FF2B5EF4-FFF2-40B4-BE49-F238E27FC236}">
              <a16:creationId xmlns:a16="http://schemas.microsoft.com/office/drawing/2014/main" id="{DE60DF41-4F98-4C73-878B-CF521346DE63}"/>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xdr:blipFill>
      <xdr:spPr>
        <a:xfrm>
          <a:off x="76201" y="0"/>
          <a:ext cx="1341120" cy="3878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205740</xdr:colOff>
      <xdr:row>0</xdr:row>
      <xdr:rowOff>0</xdr:rowOff>
    </xdr:from>
    <xdr:to>
      <xdr:col>25</xdr:col>
      <xdr:colOff>205740</xdr:colOff>
      <xdr:row>43</xdr:row>
      <xdr:rowOff>0</xdr:rowOff>
    </xdr:to>
    <xdr:sp macro="" textlink="">
      <xdr:nvSpPr>
        <xdr:cNvPr id="3" name="Rectangle 2">
          <a:extLst>
            <a:ext uri="{FF2B5EF4-FFF2-40B4-BE49-F238E27FC236}">
              <a16:creationId xmlns:a16="http://schemas.microsoft.com/office/drawing/2014/main" id="{512E711C-2A24-4D4D-87BA-83E9FC8B40D0}"/>
            </a:ext>
          </a:extLst>
        </xdr:cNvPr>
        <xdr:cNvSpPr/>
      </xdr:nvSpPr>
      <xdr:spPr>
        <a:xfrm>
          <a:off x="1958340" y="0"/>
          <a:ext cx="13258800" cy="7863840"/>
        </a:xfrm>
        <a:prstGeom prst="rect">
          <a:avLst/>
        </a:prstGeom>
        <a:solidFill>
          <a:schemeClr val="accent3">
            <a:lumMod val="20000"/>
            <a:lumOff val="80000"/>
          </a:schemeClr>
        </a:solidFill>
        <a:ln>
          <a:noFill/>
        </a:ln>
        <a:effectLst>
          <a:outerShdw blurRad="254000" dist="127000" algn="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3</xdr:col>
      <xdr:colOff>0</xdr:colOff>
      <xdr:row>43</xdr:row>
      <xdr:rowOff>0</xdr:rowOff>
    </xdr:to>
    <xdr:sp macro="" textlink="">
      <xdr:nvSpPr>
        <xdr:cNvPr id="2" name="Rectangle 1">
          <a:extLst>
            <a:ext uri="{FF2B5EF4-FFF2-40B4-BE49-F238E27FC236}">
              <a16:creationId xmlns:a16="http://schemas.microsoft.com/office/drawing/2014/main" id="{C0CF5D1E-2563-41D5-BA29-5EAAC61A9C34}"/>
            </a:ext>
          </a:extLst>
        </xdr:cNvPr>
        <xdr:cNvSpPr/>
      </xdr:nvSpPr>
      <xdr:spPr>
        <a:xfrm>
          <a:off x="0" y="0"/>
          <a:ext cx="1981200" cy="7863840"/>
        </a:xfrm>
        <a:prstGeom prst="rect">
          <a:avLst/>
        </a:prstGeom>
        <a:solidFill>
          <a:schemeClr val="accent5">
            <a:lumMod val="50000"/>
          </a:schemeClr>
        </a:solidFill>
        <a:ln>
          <a:noFill/>
        </a:ln>
        <a:effectLst>
          <a:outerShdw blurRad="254000" dist="127000" algn="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22</xdr:col>
      <xdr:colOff>304800</xdr:colOff>
      <xdr:row>1</xdr:row>
      <xdr:rowOff>0</xdr:rowOff>
    </xdr:from>
    <xdr:to>
      <xdr:col>25</xdr:col>
      <xdr:colOff>0</xdr:colOff>
      <xdr:row>3</xdr:row>
      <xdr:rowOff>67829</xdr:rowOff>
    </xdr:to>
    <xdr:pic>
      <xdr:nvPicPr>
        <xdr:cNvPr id="6" name="Picture 5">
          <a:hlinkClick xmlns:r="http://schemas.openxmlformats.org/officeDocument/2006/relationships" r:id="rId1"/>
          <a:extLst>
            <a:ext uri="{FF2B5EF4-FFF2-40B4-BE49-F238E27FC236}">
              <a16:creationId xmlns:a16="http://schemas.microsoft.com/office/drawing/2014/main" id="{46E40EAC-D019-CE2B-01E2-EC0A7137278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487400" y="182880"/>
          <a:ext cx="1524000" cy="43358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4</xdr:col>
      <xdr:colOff>324130</xdr:colOff>
      <xdr:row>3</xdr:row>
      <xdr:rowOff>76322</xdr:rowOff>
    </xdr:to>
    <xdr:pic>
      <xdr:nvPicPr>
        <xdr:cNvPr id="2" name="Picture 1">
          <a:extLst>
            <a:ext uri="{FF2B5EF4-FFF2-40B4-BE49-F238E27FC236}">
              <a16:creationId xmlns:a16="http://schemas.microsoft.com/office/drawing/2014/main" id="{113BF637-9F8C-404F-8B9A-8AB22E64E9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219200" y="182880"/>
          <a:ext cx="1543330" cy="442082"/>
        </a:xfrm>
        <a:prstGeom prst="rect">
          <a:avLst/>
        </a:prstGeom>
      </xdr:spPr>
    </xdr:pic>
    <xdr:clientData/>
  </xdr:twoCellAnchor>
  <xdr:twoCellAnchor editAs="oneCell">
    <xdr:from>
      <xdr:col>1</xdr:col>
      <xdr:colOff>0</xdr:colOff>
      <xdr:row>27</xdr:row>
      <xdr:rowOff>0</xdr:rowOff>
    </xdr:from>
    <xdr:to>
      <xdr:col>3</xdr:col>
      <xdr:colOff>304800</xdr:colOff>
      <xdr:row>29</xdr:row>
      <xdr:rowOff>67829</xdr:rowOff>
    </xdr:to>
    <xdr:pic>
      <xdr:nvPicPr>
        <xdr:cNvPr id="3" name="Picture 2">
          <a:hlinkClick xmlns:r="http://schemas.openxmlformats.org/officeDocument/2006/relationships" r:id="rId2"/>
          <a:extLst>
            <a:ext uri="{FF2B5EF4-FFF2-40B4-BE49-F238E27FC236}">
              <a16:creationId xmlns:a16="http://schemas.microsoft.com/office/drawing/2014/main" id="{602BB025-83F9-4955-BC88-7D277D7994E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600" y="4937760"/>
          <a:ext cx="1524000" cy="433589"/>
        </a:xfrm>
        <a:prstGeom prst="rect">
          <a:avLst/>
        </a:prstGeom>
      </xdr:spPr>
    </xdr:pic>
    <xdr:clientData/>
  </xdr:twoCellAnchor>
  <xdr:twoCellAnchor editAs="oneCell">
    <xdr:from>
      <xdr:col>7</xdr:col>
      <xdr:colOff>1</xdr:colOff>
      <xdr:row>7</xdr:row>
      <xdr:rowOff>1</xdr:rowOff>
    </xdr:from>
    <xdr:to>
      <xdr:col>8</xdr:col>
      <xdr:colOff>1</xdr:colOff>
      <xdr:row>21</xdr:row>
      <xdr:rowOff>1</xdr:rowOff>
    </xdr:to>
    <xdr:pic>
      <xdr:nvPicPr>
        <xdr:cNvPr id="5" name="Picture 4">
          <a:hlinkClick xmlns:r="http://schemas.openxmlformats.org/officeDocument/2006/relationships" r:id="rId4"/>
          <a:extLst>
            <a:ext uri="{FF2B5EF4-FFF2-40B4-BE49-F238E27FC236}">
              <a16:creationId xmlns:a16="http://schemas.microsoft.com/office/drawing/2014/main" id="{87527581-9CC7-32E2-D643-E625DB568FA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886201" y="1280161"/>
          <a:ext cx="2560320" cy="256032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rendra" refreshedDate="46096.519215740744" createdVersion="8" refreshedVersion="8" minRefreshableVersion="3" recordCount="2400" xr:uid="{AB438308-63A9-4C31-A0B7-D718532875A3}">
  <cacheSource type="worksheet">
    <worksheetSource name="orders"/>
  </cacheSource>
  <cacheFields count="18">
    <cacheField name="TX ID" numFmtId="0">
      <sharedItems count="2400">
        <s v="TX500001"/>
        <s v="TX500002"/>
        <s v="TX500003"/>
        <s v="TX500004"/>
        <s v="TX500005"/>
        <s v="TX500006"/>
        <s v="TX500007"/>
        <s v="TX500008"/>
        <s v="TX500009"/>
        <s v="TX500010"/>
        <s v="TX500011"/>
        <s v="TX500012"/>
        <s v="TX500013"/>
        <s v="TX500014"/>
        <s v="TX500015"/>
        <s v="TX500016"/>
        <s v="TX500017"/>
        <s v="TX500018"/>
        <s v="TX500019"/>
        <s v="TX500020"/>
        <s v="TX500021"/>
        <s v="TX500022"/>
        <s v="TX500023"/>
        <s v="TX500024"/>
        <s v="TX500025"/>
        <s v="TX500026"/>
        <s v="TX500027"/>
        <s v="TX500028"/>
        <s v="TX500029"/>
        <s v="TX500030"/>
        <s v="TX500031"/>
        <s v="TX500032"/>
        <s v="TX500033"/>
        <s v="TX500034"/>
        <s v="TX500035"/>
        <s v="TX500036"/>
        <s v="TX500037"/>
        <s v="TX500038"/>
        <s v="TX500039"/>
        <s v="TX500040"/>
        <s v="TX500041"/>
        <s v="TX500042"/>
        <s v="TX500043"/>
        <s v="TX500044"/>
        <s v="TX500045"/>
        <s v="TX500046"/>
        <s v="TX500047"/>
        <s v="TX500048"/>
        <s v="TX500049"/>
        <s v="TX500050"/>
        <s v="TX500051"/>
        <s v="TX500052"/>
        <s v="TX500053"/>
        <s v="TX500054"/>
        <s v="TX500055"/>
        <s v="TX500056"/>
        <s v="TX500057"/>
        <s v="TX500058"/>
        <s v="TX500059"/>
        <s v="TX500060"/>
        <s v="TX500061"/>
        <s v="TX500062"/>
        <s v="TX500063"/>
        <s v="TX500064"/>
        <s v="TX500065"/>
        <s v="TX500066"/>
        <s v="TX500067"/>
        <s v="TX500068"/>
        <s v="TX500069"/>
        <s v="TX500070"/>
        <s v="TX500071"/>
        <s v="TX500072"/>
        <s v="TX500073"/>
        <s v="TX500074"/>
        <s v="TX500075"/>
        <s v="TX500076"/>
        <s v="TX500077"/>
        <s v="TX500078"/>
        <s v="TX500079"/>
        <s v="TX500080"/>
        <s v="TX500081"/>
        <s v="TX500082"/>
        <s v="TX500083"/>
        <s v="TX500084"/>
        <s v="TX500085"/>
        <s v="TX500086"/>
        <s v="TX500087"/>
        <s v="TX500088"/>
        <s v="TX500089"/>
        <s v="TX500090"/>
        <s v="TX500091"/>
        <s v="TX500092"/>
        <s v="TX500093"/>
        <s v="TX500094"/>
        <s v="TX500095"/>
        <s v="TX500096"/>
        <s v="TX500097"/>
        <s v="TX500098"/>
        <s v="TX500099"/>
        <s v="TX500100"/>
        <s v="TX500101"/>
        <s v="TX500102"/>
        <s v="TX500103"/>
        <s v="TX500104"/>
        <s v="TX500105"/>
        <s v="TX500106"/>
        <s v="TX500107"/>
        <s v="TX500108"/>
        <s v="TX500109"/>
        <s v="TX500110"/>
        <s v="TX500111"/>
        <s v="TX500112"/>
        <s v="TX500113"/>
        <s v="TX500114"/>
        <s v="TX500115"/>
        <s v="TX500116"/>
        <s v="TX500117"/>
        <s v="TX500118"/>
        <s v="TX500119"/>
        <s v="TX500120"/>
        <s v="TX500121"/>
        <s v="TX500122"/>
        <s v="TX500123"/>
        <s v="TX500124"/>
        <s v="TX500125"/>
        <s v="TX500126"/>
        <s v="TX500127"/>
        <s v="TX500128"/>
        <s v="TX500129"/>
        <s v="TX500130"/>
        <s v="TX500131"/>
        <s v="TX500132"/>
        <s v="TX500133"/>
        <s v="TX500134"/>
        <s v="TX500135"/>
        <s v="TX500136"/>
        <s v="TX500137"/>
        <s v="TX500138"/>
        <s v="TX500139"/>
        <s v="TX500140"/>
        <s v="TX500141"/>
        <s v="TX500142"/>
        <s v="TX500143"/>
        <s v="TX500144"/>
        <s v="TX500145"/>
        <s v="TX500146"/>
        <s v="TX500147"/>
        <s v="TX500148"/>
        <s v="TX500149"/>
        <s v="TX500150"/>
        <s v="TX500151"/>
        <s v="TX500152"/>
        <s v="TX500153"/>
        <s v="TX500154"/>
        <s v="TX500155"/>
        <s v="TX500156"/>
        <s v="TX500157"/>
        <s v="TX500158"/>
        <s v="TX500159"/>
        <s v="TX500160"/>
        <s v="TX500161"/>
        <s v="TX500162"/>
        <s v="TX500163"/>
        <s v="TX500164"/>
        <s v="TX500165"/>
        <s v="TX500166"/>
        <s v="TX500167"/>
        <s v="TX500168"/>
        <s v="TX500169"/>
        <s v="TX500170"/>
        <s v="TX500171"/>
        <s v="TX500172"/>
        <s v="TX500173"/>
        <s v="TX500174"/>
        <s v="TX500175"/>
        <s v="TX500176"/>
        <s v="TX500177"/>
        <s v="TX500178"/>
        <s v="TX500179"/>
        <s v="TX500180"/>
        <s v="TX500181"/>
        <s v="TX500182"/>
        <s v="TX500183"/>
        <s v="TX500184"/>
        <s v="TX500185"/>
        <s v="TX500186"/>
        <s v="TX500187"/>
        <s v="TX500188"/>
        <s v="TX500189"/>
        <s v="TX500190"/>
        <s v="TX500191"/>
        <s v="TX500192"/>
        <s v="TX500193"/>
        <s v="TX500194"/>
        <s v="TX500195"/>
        <s v="TX500196"/>
        <s v="TX500197"/>
        <s v="TX500198"/>
        <s v="TX500199"/>
        <s v="TX500200"/>
        <s v="TX500201"/>
        <s v="TX500202"/>
        <s v="TX500203"/>
        <s v="TX500204"/>
        <s v="TX500205"/>
        <s v="TX500206"/>
        <s v="TX500207"/>
        <s v="TX500208"/>
        <s v="TX500209"/>
        <s v="TX500210"/>
        <s v="TX500211"/>
        <s v="TX500212"/>
        <s v="TX500213"/>
        <s v="TX500214"/>
        <s v="TX500215"/>
        <s v="TX500216"/>
        <s v="TX500217"/>
        <s v="TX500218"/>
        <s v="TX500219"/>
        <s v="TX500220"/>
        <s v="TX500221"/>
        <s v="TX500222"/>
        <s v="TX500223"/>
        <s v="TX500224"/>
        <s v="TX500225"/>
        <s v="TX500226"/>
        <s v="TX500227"/>
        <s v="TX500228"/>
        <s v="TX500229"/>
        <s v="TX500230"/>
        <s v="TX500231"/>
        <s v="TX500232"/>
        <s v="TX500233"/>
        <s v="TX500234"/>
        <s v="TX500235"/>
        <s v="TX500236"/>
        <s v="TX500237"/>
        <s v="TX500238"/>
        <s v="TX500239"/>
        <s v="TX500240"/>
        <s v="TX500241"/>
        <s v="TX500242"/>
        <s v="TX500243"/>
        <s v="TX500244"/>
        <s v="TX500245"/>
        <s v="TX500246"/>
        <s v="TX500247"/>
        <s v="TX500248"/>
        <s v="TX500249"/>
        <s v="TX500250"/>
        <s v="TX500251"/>
        <s v="TX500252"/>
        <s v="TX500253"/>
        <s v="TX500254"/>
        <s v="TX500255"/>
        <s v="TX500256"/>
        <s v="TX500257"/>
        <s v="TX500258"/>
        <s v="TX500259"/>
        <s v="TX500260"/>
        <s v="TX500261"/>
        <s v="TX500262"/>
        <s v="TX500263"/>
        <s v="TX500264"/>
        <s v="TX500265"/>
        <s v="TX500266"/>
        <s v="TX500267"/>
        <s v="TX500268"/>
        <s v="TX500269"/>
        <s v="TX500270"/>
        <s v="TX500271"/>
        <s v="TX500272"/>
        <s v="TX500273"/>
        <s v="TX500274"/>
        <s v="TX500275"/>
        <s v="TX500276"/>
        <s v="TX500277"/>
        <s v="TX500278"/>
        <s v="TX500279"/>
        <s v="TX500280"/>
        <s v="TX500281"/>
        <s v="TX500282"/>
        <s v="TX500283"/>
        <s v="TX500284"/>
        <s v="TX500285"/>
        <s v="TX500286"/>
        <s v="TX500287"/>
        <s v="TX500288"/>
        <s v="TX500289"/>
        <s v="TX500290"/>
        <s v="TX500291"/>
        <s v="TX500292"/>
        <s v="TX500293"/>
        <s v="TX500294"/>
        <s v="TX500295"/>
        <s v="TX500296"/>
        <s v="TX500297"/>
        <s v="TX500298"/>
        <s v="TX500299"/>
        <s v="TX500300"/>
        <s v="TX500301"/>
        <s v="TX500302"/>
        <s v="TX500303"/>
        <s v="TX500304"/>
        <s v="TX500305"/>
        <s v="TX500306"/>
        <s v="TX500307"/>
        <s v="TX500308"/>
        <s v="TX500309"/>
        <s v="TX500310"/>
        <s v="TX500311"/>
        <s v="TX500312"/>
        <s v="TX500313"/>
        <s v="TX500314"/>
        <s v="TX500315"/>
        <s v="TX500316"/>
        <s v="TX500317"/>
        <s v="TX500318"/>
        <s v="TX500319"/>
        <s v="TX500320"/>
        <s v="TX500321"/>
        <s v="TX500322"/>
        <s v="TX500323"/>
        <s v="TX500324"/>
        <s v="TX500325"/>
        <s v="TX500326"/>
        <s v="TX500327"/>
        <s v="TX500328"/>
        <s v="TX500329"/>
        <s v="TX500330"/>
        <s v="TX500331"/>
        <s v="TX500332"/>
        <s v="TX500333"/>
        <s v="TX500334"/>
        <s v="TX500335"/>
        <s v="TX500336"/>
        <s v="TX500337"/>
        <s v="TX500338"/>
        <s v="TX500339"/>
        <s v="TX500340"/>
        <s v="TX500341"/>
        <s v="TX500342"/>
        <s v="TX500343"/>
        <s v="TX500344"/>
        <s v="TX500345"/>
        <s v="TX500346"/>
        <s v="TX500347"/>
        <s v="TX500348"/>
        <s v="TX500349"/>
        <s v="TX500350"/>
        <s v="TX500351"/>
        <s v="TX500352"/>
        <s v="TX500353"/>
        <s v="TX500354"/>
        <s v="TX500355"/>
        <s v="TX500356"/>
        <s v="TX500357"/>
        <s v="TX500358"/>
        <s v="TX500359"/>
        <s v="TX500360"/>
        <s v="TX500361"/>
        <s v="TX500362"/>
        <s v="TX500363"/>
        <s v="TX500364"/>
        <s v="TX500365"/>
        <s v="TX500366"/>
        <s v="TX500367"/>
        <s v="TX500368"/>
        <s v="TX500369"/>
        <s v="TX500370"/>
        <s v="TX500371"/>
        <s v="TX500372"/>
        <s v="TX500373"/>
        <s v="TX500374"/>
        <s v="TX500375"/>
        <s v="TX500376"/>
        <s v="TX500377"/>
        <s v="TX500378"/>
        <s v="TX500379"/>
        <s v="TX500380"/>
        <s v="TX500381"/>
        <s v="TX500382"/>
        <s v="TX500383"/>
        <s v="TX500384"/>
        <s v="TX500385"/>
        <s v="TX500386"/>
        <s v="TX500387"/>
        <s v="TX500388"/>
        <s v="TX500389"/>
        <s v="TX500390"/>
        <s v="TX500391"/>
        <s v="TX500392"/>
        <s v="TX500393"/>
        <s v="TX500394"/>
        <s v="TX500395"/>
        <s v="TX500396"/>
        <s v="TX500397"/>
        <s v="TX500398"/>
        <s v="TX500399"/>
        <s v="TX500400"/>
        <s v="TX500401"/>
        <s v="TX500402"/>
        <s v="TX500403"/>
        <s v="TX500404"/>
        <s v="TX500405"/>
        <s v="TX500406"/>
        <s v="TX500407"/>
        <s v="TX500408"/>
        <s v="TX500409"/>
        <s v="TX500410"/>
        <s v="TX500411"/>
        <s v="TX500412"/>
        <s v="TX500413"/>
        <s v="TX500414"/>
        <s v="TX500415"/>
        <s v="TX500416"/>
        <s v="TX500417"/>
        <s v="TX500418"/>
        <s v="TX500419"/>
        <s v="TX500420"/>
        <s v="TX500421"/>
        <s v="TX500422"/>
        <s v="TX500423"/>
        <s v="TX500424"/>
        <s v="TX500425"/>
        <s v="TX500426"/>
        <s v="TX500427"/>
        <s v="TX500428"/>
        <s v="TX500429"/>
        <s v="TX500430"/>
        <s v="TX500431"/>
        <s v="TX500432"/>
        <s v="TX500433"/>
        <s v="TX500434"/>
        <s v="TX500435"/>
        <s v="TX500436"/>
        <s v="TX500437"/>
        <s v="TX500438"/>
        <s v="TX500439"/>
        <s v="TX500440"/>
        <s v="TX500441"/>
        <s v="TX500442"/>
        <s v="TX500443"/>
        <s v="TX500444"/>
        <s v="TX500445"/>
        <s v="TX500446"/>
        <s v="TX500447"/>
        <s v="TX500448"/>
        <s v="TX500449"/>
        <s v="TX500450"/>
        <s v="TX500451"/>
        <s v="TX500452"/>
        <s v="TX500453"/>
        <s v="TX500454"/>
        <s v="TX500455"/>
        <s v="TX500456"/>
        <s v="TX500457"/>
        <s v="TX500458"/>
        <s v="TX500459"/>
        <s v="TX500460"/>
        <s v="TX500461"/>
        <s v="TX500462"/>
        <s v="TX500463"/>
        <s v="TX500464"/>
        <s v="TX500465"/>
        <s v="TX500466"/>
        <s v="TX500467"/>
        <s v="TX500468"/>
        <s v="TX500469"/>
        <s v="TX500470"/>
        <s v="TX500471"/>
        <s v="TX500472"/>
        <s v="TX500473"/>
        <s v="TX500474"/>
        <s v="TX500475"/>
        <s v="TX500476"/>
        <s v="TX500477"/>
        <s v="TX500478"/>
        <s v="TX500479"/>
        <s v="TX500480"/>
        <s v="TX500481"/>
        <s v="TX500482"/>
        <s v="TX500483"/>
        <s v="TX500484"/>
        <s v="TX500485"/>
        <s v="TX500486"/>
        <s v="TX500487"/>
        <s v="TX500488"/>
        <s v="TX500489"/>
        <s v="TX500490"/>
        <s v="TX500491"/>
        <s v="TX500492"/>
        <s v="TX500493"/>
        <s v="TX500494"/>
        <s v="TX500495"/>
        <s v="TX500496"/>
        <s v="TX500497"/>
        <s v="TX500498"/>
        <s v="TX500499"/>
        <s v="TX500500"/>
        <s v="TX500501"/>
        <s v="TX500502"/>
        <s v="TX500503"/>
        <s v="TX500504"/>
        <s v="TX500505"/>
        <s v="TX500506"/>
        <s v="TX500507"/>
        <s v="TX500508"/>
        <s v="TX500509"/>
        <s v="TX500510"/>
        <s v="TX500511"/>
        <s v="TX500512"/>
        <s v="TX500513"/>
        <s v="TX500514"/>
        <s v="TX500515"/>
        <s v="TX500516"/>
        <s v="TX500517"/>
        <s v="TX500518"/>
        <s v="TX500519"/>
        <s v="TX500520"/>
        <s v="TX500521"/>
        <s v="TX500522"/>
        <s v="TX500523"/>
        <s v="TX500524"/>
        <s v="TX500525"/>
        <s v="TX500526"/>
        <s v="TX500527"/>
        <s v="TX500528"/>
        <s v="TX500529"/>
        <s v="TX500530"/>
        <s v="TX500531"/>
        <s v="TX500532"/>
        <s v="TX500533"/>
        <s v="TX500534"/>
        <s v="TX500535"/>
        <s v="TX500536"/>
        <s v="TX500537"/>
        <s v="TX500538"/>
        <s v="TX500539"/>
        <s v="TX500540"/>
        <s v="TX500541"/>
        <s v="TX500542"/>
        <s v="TX500543"/>
        <s v="TX500544"/>
        <s v="TX500545"/>
        <s v="TX500546"/>
        <s v="TX500547"/>
        <s v="TX500548"/>
        <s v="TX500549"/>
        <s v="TX500550"/>
        <s v="TX500551"/>
        <s v="TX500552"/>
        <s v="TX500553"/>
        <s v="TX500554"/>
        <s v="TX500555"/>
        <s v="TX500556"/>
        <s v="TX500557"/>
        <s v="TX500558"/>
        <s v="TX500559"/>
        <s v="TX500560"/>
        <s v="TX500561"/>
        <s v="TX500562"/>
        <s v="TX500563"/>
        <s v="TX500564"/>
        <s v="TX500565"/>
        <s v="TX500566"/>
        <s v="TX500567"/>
        <s v="TX500568"/>
        <s v="TX500569"/>
        <s v="TX500570"/>
        <s v="TX500571"/>
        <s v="TX500572"/>
        <s v="TX500573"/>
        <s v="TX500574"/>
        <s v="TX500575"/>
        <s v="TX500576"/>
        <s v="TX500577"/>
        <s v="TX500578"/>
        <s v="TX500579"/>
        <s v="TX500580"/>
        <s v="TX500581"/>
        <s v="TX500582"/>
        <s v="TX500583"/>
        <s v="TX500584"/>
        <s v="TX500585"/>
        <s v="TX500586"/>
        <s v="TX500587"/>
        <s v="TX500588"/>
        <s v="TX500589"/>
        <s v="TX500590"/>
        <s v="TX500591"/>
        <s v="TX500592"/>
        <s v="TX500593"/>
        <s v="TX500594"/>
        <s v="TX500595"/>
        <s v="TX500596"/>
        <s v="TX500597"/>
        <s v="TX500598"/>
        <s v="TX500599"/>
        <s v="TX500600"/>
        <s v="TX500601"/>
        <s v="TX500602"/>
        <s v="TX500603"/>
        <s v="TX500604"/>
        <s v="TX500605"/>
        <s v="TX500606"/>
        <s v="TX500607"/>
        <s v="TX500608"/>
        <s v="TX500609"/>
        <s v="TX500610"/>
        <s v="TX500611"/>
        <s v="TX500612"/>
        <s v="TX500613"/>
        <s v="TX500614"/>
        <s v="TX500615"/>
        <s v="TX500616"/>
        <s v="TX500617"/>
        <s v="TX500618"/>
        <s v="TX500619"/>
        <s v="TX500620"/>
        <s v="TX500621"/>
        <s v="TX500622"/>
        <s v="TX500623"/>
        <s v="TX500624"/>
        <s v="TX500625"/>
        <s v="TX500626"/>
        <s v="TX500627"/>
        <s v="TX500628"/>
        <s v="TX500629"/>
        <s v="TX500630"/>
        <s v="TX500631"/>
        <s v="TX500632"/>
        <s v="TX500633"/>
        <s v="TX500634"/>
        <s v="TX500635"/>
        <s v="TX500636"/>
        <s v="TX500637"/>
        <s v="TX500638"/>
        <s v="TX500639"/>
        <s v="TX500640"/>
        <s v="TX500641"/>
        <s v="TX500642"/>
        <s v="TX500643"/>
        <s v="TX500644"/>
        <s v="TX500645"/>
        <s v="TX500646"/>
        <s v="TX500647"/>
        <s v="TX500648"/>
        <s v="TX500649"/>
        <s v="TX500650"/>
        <s v="TX500651"/>
        <s v="TX500652"/>
        <s v="TX500653"/>
        <s v="TX500654"/>
        <s v="TX500655"/>
        <s v="TX500656"/>
        <s v="TX500657"/>
        <s v="TX500658"/>
        <s v="TX500659"/>
        <s v="TX500660"/>
        <s v="TX500661"/>
        <s v="TX500662"/>
        <s v="TX500663"/>
        <s v="TX500664"/>
        <s v="TX500665"/>
        <s v="TX500666"/>
        <s v="TX500667"/>
        <s v="TX500668"/>
        <s v="TX500669"/>
        <s v="TX500670"/>
        <s v="TX500671"/>
        <s v="TX500672"/>
        <s v="TX500673"/>
        <s v="TX500674"/>
        <s v="TX500675"/>
        <s v="TX500676"/>
        <s v="TX500677"/>
        <s v="TX500678"/>
        <s v="TX500679"/>
        <s v="TX500680"/>
        <s v="TX500681"/>
        <s v="TX500682"/>
        <s v="TX500683"/>
        <s v="TX500684"/>
        <s v="TX500685"/>
        <s v="TX500686"/>
        <s v="TX500687"/>
        <s v="TX500688"/>
        <s v="TX500689"/>
        <s v="TX500690"/>
        <s v="TX500691"/>
        <s v="TX500692"/>
        <s v="TX500693"/>
        <s v="TX500694"/>
        <s v="TX500695"/>
        <s v="TX500696"/>
        <s v="TX500697"/>
        <s v="TX500698"/>
        <s v="TX500699"/>
        <s v="TX500700"/>
        <s v="TX500701"/>
        <s v="TX500702"/>
        <s v="TX500703"/>
        <s v="TX500704"/>
        <s v="TX500705"/>
        <s v="TX500706"/>
        <s v="TX500707"/>
        <s v="TX500708"/>
        <s v="TX500709"/>
        <s v="TX500710"/>
        <s v="TX500711"/>
        <s v="TX500712"/>
        <s v="TX500713"/>
        <s v="TX500714"/>
        <s v="TX500715"/>
        <s v="TX500716"/>
        <s v="TX500717"/>
        <s v="TX500718"/>
        <s v="TX500719"/>
        <s v="TX500720"/>
        <s v="TX500721"/>
        <s v="TX500722"/>
        <s v="TX500723"/>
        <s v="TX500724"/>
        <s v="TX500725"/>
        <s v="TX500726"/>
        <s v="TX500727"/>
        <s v="TX500728"/>
        <s v="TX500729"/>
        <s v="TX500730"/>
        <s v="TX500731"/>
        <s v="TX500732"/>
        <s v="TX500733"/>
        <s v="TX500734"/>
        <s v="TX500735"/>
        <s v="TX500736"/>
        <s v="TX500737"/>
        <s v="TX500738"/>
        <s v="TX500739"/>
        <s v="TX500740"/>
        <s v="TX500741"/>
        <s v="TX500742"/>
        <s v="TX500743"/>
        <s v="TX500744"/>
        <s v="TX500745"/>
        <s v="TX500746"/>
        <s v="TX500747"/>
        <s v="TX500748"/>
        <s v="TX500749"/>
        <s v="TX500750"/>
        <s v="TX500751"/>
        <s v="TX500752"/>
        <s v="TX500753"/>
        <s v="TX500754"/>
        <s v="TX500755"/>
        <s v="TX500756"/>
        <s v="TX500757"/>
        <s v="TX500758"/>
        <s v="TX500759"/>
        <s v="TX500760"/>
        <s v="TX500761"/>
        <s v="TX500762"/>
        <s v="TX500763"/>
        <s v="TX500764"/>
        <s v="TX500765"/>
        <s v="TX500766"/>
        <s v="TX500767"/>
        <s v="TX500768"/>
        <s v="TX500769"/>
        <s v="TX500770"/>
        <s v="TX500771"/>
        <s v="TX500772"/>
        <s v="TX500773"/>
        <s v="TX500774"/>
        <s v="TX500775"/>
        <s v="TX500776"/>
        <s v="TX500777"/>
        <s v="TX500778"/>
        <s v="TX500779"/>
        <s v="TX500780"/>
        <s v="TX500781"/>
        <s v="TX500782"/>
        <s v="TX500783"/>
        <s v="TX500784"/>
        <s v="TX500785"/>
        <s v="TX500786"/>
        <s v="TX500787"/>
        <s v="TX500788"/>
        <s v="TX500789"/>
        <s v="TX500790"/>
        <s v="TX500791"/>
        <s v="TX500792"/>
        <s v="TX500793"/>
        <s v="TX500794"/>
        <s v="TX500795"/>
        <s v="TX500796"/>
        <s v="TX500797"/>
        <s v="TX500798"/>
        <s v="TX500799"/>
        <s v="TX500800"/>
        <s v="TX500801"/>
        <s v="TX500802"/>
        <s v="TX500803"/>
        <s v="TX500804"/>
        <s v="TX500805"/>
        <s v="TX500806"/>
        <s v="TX500807"/>
        <s v="TX500808"/>
        <s v="TX500809"/>
        <s v="TX500810"/>
        <s v="TX500811"/>
        <s v="TX500812"/>
        <s v="TX500813"/>
        <s v="TX500814"/>
        <s v="TX500815"/>
        <s v="TX500816"/>
        <s v="TX500817"/>
        <s v="TX500818"/>
        <s v="TX500819"/>
        <s v="TX500820"/>
        <s v="TX500821"/>
        <s v="TX500822"/>
        <s v="TX500823"/>
        <s v="TX500824"/>
        <s v="TX500825"/>
        <s v="TX500826"/>
        <s v="TX500827"/>
        <s v="TX500828"/>
        <s v="TX500829"/>
        <s v="TX500830"/>
        <s v="TX500831"/>
        <s v="TX500832"/>
        <s v="TX500833"/>
        <s v="TX500834"/>
        <s v="TX500835"/>
        <s v="TX500836"/>
        <s v="TX500837"/>
        <s v="TX500838"/>
        <s v="TX500839"/>
        <s v="TX500840"/>
        <s v="TX500841"/>
        <s v="TX500842"/>
        <s v="TX500843"/>
        <s v="TX500844"/>
        <s v="TX500845"/>
        <s v="TX500846"/>
        <s v="TX500847"/>
        <s v="TX500848"/>
        <s v="TX500849"/>
        <s v="TX500850"/>
        <s v="TX500851"/>
        <s v="TX500852"/>
        <s v="TX500853"/>
        <s v="TX500854"/>
        <s v="TX500855"/>
        <s v="TX500856"/>
        <s v="TX500857"/>
        <s v="TX500858"/>
        <s v="TX500859"/>
        <s v="TX500860"/>
        <s v="TX500861"/>
        <s v="TX500862"/>
        <s v="TX500863"/>
        <s v="TX500864"/>
        <s v="TX500865"/>
        <s v="TX500866"/>
        <s v="TX500867"/>
        <s v="TX500868"/>
        <s v="TX500869"/>
        <s v="TX500870"/>
        <s v="TX500871"/>
        <s v="TX500872"/>
        <s v="TX500873"/>
        <s v="TX500874"/>
        <s v="TX500875"/>
        <s v="TX500876"/>
        <s v="TX500877"/>
        <s v="TX500878"/>
        <s v="TX500879"/>
        <s v="TX500880"/>
        <s v="TX500881"/>
        <s v="TX500882"/>
        <s v="TX500883"/>
        <s v="TX500884"/>
        <s v="TX500885"/>
        <s v="TX500886"/>
        <s v="TX500887"/>
        <s v="TX500888"/>
        <s v="TX500889"/>
        <s v="TX500890"/>
        <s v="TX500891"/>
        <s v="TX500892"/>
        <s v="TX500893"/>
        <s v="TX500894"/>
        <s v="TX500895"/>
        <s v="TX500896"/>
        <s v="TX500897"/>
        <s v="TX500898"/>
        <s v="TX500899"/>
        <s v="TX500900"/>
        <s v="TX500901"/>
        <s v="TX500902"/>
        <s v="TX500903"/>
        <s v="TX500904"/>
        <s v="TX500905"/>
        <s v="TX500906"/>
        <s v="TX500907"/>
        <s v="TX500908"/>
        <s v="TX500909"/>
        <s v="TX500910"/>
        <s v="TX500911"/>
        <s v="TX500912"/>
        <s v="TX500913"/>
        <s v="TX500914"/>
        <s v="TX500915"/>
        <s v="TX500916"/>
        <s v="TX500917"/>
        <s v="TX500918"/>
        <s v="TX500919"/>
        <s v="TX500920"/>
        <s v="TX500921"/>
        <s v="TX500922"/>
        <s v="TX500923"/>
        <s v="TX500924"/>
        <s v="TX500925"/>
        <s v="TX500926"/>
        <s v="TX500927"/>
        <s v="TX500928"/>
        <s v="TX500929"/>
        <s v="TX500930"/>
        <s v="TX500931"/>
        <s v="TX500932"/>
        <s v="TX500933"/>
        <s v="TX500934"/>
        <s v="TX500935"/>
        <s v="TX500936"/>
        <s v="TX500937"/>
        <s v="TX500938"/>
        <s v="TX500939"/>
        <s v="TX500940"/>
        <s v="TX500941"/>
        <s v="TX500942"/>
        <s v="TX500943"/>
        <s v="TX500944"/>
        <s v="TX500945"/>
        <s v="TX500946"/>
        <s v="TX500947"/>
        <s v="TX500948"/>
        <s v="TX500949"/>
        <s v="TX500950"/>
        <s v="TX500951"/>
        <s v="TX500952"/>
        <s v="TX500953"/>
        <s v="TX500954"/>
        <s v="TX500955"/>
        <s v="TX500956"/>
        <s v="TX500957"/>
        <s v="TX500958"/>
        <s v="TX500959"/>
        <s v="TX500960"/>
        <s v="TX500961"/>
        <s v="TX500962"/>
        <s v="TX500963"/>
        <s v="TX500964"/>
        <s v="TX500965"/>
        <s v="TX500966"/>
        <s v="TX500967"/>
        <s v="TX500968"/>
        <s v="TX500969"/>
        <s v="TX500970"/>
        <s v="TX500971"/>
        <s v="TX500972"/>
        <s v="TX500973"/>
        <s v="TX500974"/>
        <s v="TX500975"/>
        <s v="TX500976"/>
        <s v="TX500977"/>
        <s v="TX500978"/>
        <s v="TX500979"/>
        <s v="TX500980"/>
        <s v="TX500981"/>
        <s v="TX500982"/>
        <s v="TX500983"/>
        <s v="TX500984"/>
        <s v="TX500985"/>
        <s v="TX500986"/>
        <s v="TX500987"/>
        <s v="TX500988"/>
        <s v="TX500989"/>
        <s v="TX500990"/>
        <s v="TX500991"/>
        <s v="TX500992"/>
        <s v="TX500993"/>
        <s v="TX500994"/>
        <s v="TX500995"/>
        <s v="TX500996"/>
        <s v="TX500997"/>
        <s v="TX500998"/>
        <s v="TX500999"/>
        <s v="TX501000"/>
        <s v="TX501001"/>
        <s v="TX501002"/>
        <s v="TX501003"/>
        <s v="TX501004"/>
        <s v="TX501005"/>
        <s v="TX501006"/>
        <s v="TX501007"/>
        <s v="TX501008"/>
        <s v="TX501009"/>
        <s v="TX501010"/>
        <s v="TX501011"/>
        <s v="TX501012"/>
        <s v="TX501013"/>
        <s v="TX501014"/>
        <s v="TX501015"/>
        <s v="TX501016"/>
        <s v="TX501017"/>
        <s v="TX501018"/>
        <s v="TX501019"/>
        <s v="TX501020"/>
        <s v="TX501021"/>
        <s v="TX501022"/>
        <s v="TX501023"/>
        <s v="TX501024"/>
        <s v="TX501025"/>
        <s v="TX501026"/>
        <s v="TX501027"/>
        <s v="TX501028"/>
        <s v="TX501029"/>
        <s v="TX501030"/>
        <s v="TX501031"/>
        <s v="TX501032"/>
        <s v="TX501033"/>
        <s v="TX501034"/>
        <s v="TX501035"/>
        <s v="TX501036"/>
        <s v="TX501037"/>
        <s v="TX501038"/>
        <s v="TX501039"/>
        <s v="TX501040"/>
        <s v="TX501041"/>
        <s v="TX501042"/>
        <s v="TX501043"/>
        <s v="TX501044"/>
        <s v="TX501045"/>
        <s v="TX501046"/>
        <s v="TX501047"/>
        <s v="TX501048"/>
        <s v="TX501049"/>
        <s v="TX501050"/>
        <s v="TX501051"/>
        <s v="TX501052"/>
        <s v="TX501053"/>
        <s v="TX501054"/>
        <s v="TX501055"/>
        <s v="TX501056"/>
        <s v="TX501057"/>
        <s v="TX501058"/>
        <s v="TX501059"/>
        <s v="TX501060"/>
        <s v="TX501061"/>
        <s v="TX501062"/>
        <s v="TX501063"/>
        <s v="TX501064"/>
        <s v="TX501065"/>
        <s v="TX501066"/>
        <s v="TX501067"/>
        <s v="TX501068"/>
        <s v="TX501069"/>
        <s v="TX501070"/>
        <s v="TX501071"/>
        <s v="TX501072"/>
        <s v="TX501073"/>
        <s v="TX501074"/>
        <s v="TX501075"/>
        <s v="TX501076"/>
        <s v="TX501077"/>
        <s v="TX501078"/>
        <s v="TX501079"/>
        <s v="TX501080"/>
        <s v="TX501081"/>
        <s v="TX501082"/>
        <s v="TX501083"/>
        <s v="TX501084"/>
        <s v="TX501085"/>
        <s v="TX501086"/>
        <s v="TX501087"/>
        <s v="TX501088"/>
        <s v="TX501089"/>
        <s v="TX501090"/>
        <s v="TX501091"/>
        <s v="TX501092"/>
        <s v="TX501093"/>
        <s v="TX501094"/>
        <s v="TX501095"/>
        <s v="TX501096"/>
        <s v="TX501097"/>
        <s v="TX501098"/>
        <s v="TX501099"/>
        <s v="TX501100"/>
        <s v="TX501101"/>
        <s v="TX501102"/>
        <s v="TX501103"/>
        <s v="TX501104"/>
        <s v="TX501105"/>
        <s v="TX501106"/>
        <s v="TX501107"/>
        <s v="TX501108"/>
        <s v="TX501109"/>
        <s v="TX501110"/>
        <s v="TX501111"/>
        <s v="TX501112"/>
        <s v="TX501113"/>
        <s v="TX501114"/>
        <s v="TX501115"/>
        <s v="TX501116"/>
        <s v="TX501117"/>
        <s v="TX501118"/>
        <s v="TX501119"/>
        <s v="TX501120"/>
        <s v="TX501121"/>
        <s v="TX501122"/>
        <s v="TX501123"/>
        <s v="TX501124"/>
        <s v="TX501125"/>
        <s v="TX501126"/>
        <s v="TX501127"/>
        <s v="TX501128"/>
        <s v="TX501129"/>
        <s v="TX501130"/>
        <s v="TX501131"/>
        <s v="TX501132"/>
        <s v="TX501133"/>
        <s v="TX501134"/>
        <s v="TX501135"/>
        <s v="TX501136"/>
        <s v="TX501137"/>
        <s v="TX501138"/>
        <s v="TX501139"/>
        <s v="TX501140"/>
        <s v="TX501141"/>
        <s v="TX501142"/>
        <s v="TX501143"/>
        <s v="TX501144"/>
        <s v="TX501145"/>
        <s v="TX501146"/>
        <s v="TX501147"/>
        <s v="TX501148"/>
        <s v="TX501149"/>
        <s v="TX501150"/>
        <s v="TX501151"/>
        <s v="TX501152"/>
        <s v="TX501153"/>
        <s v="TX501154"/>
        <s v="TX501155"/>
        <s v="TX501156"/>
        <s v="TX501157"/>
        <s v="TX501158"/>
        <s v="TX501159"/>
        <s v="TX501160"/>
        <s v="TX501161"/>
        <s v="TX501162"/>
        <s v="TX501163"/>
        <s v="TX501164"/>
        <s v="TX501165"/>
        <s v="TX501166"/>
        <s v="TX501167"/>
        <s v="TX501168"/>
        <s v="TX501169"/>
        <s v="TX501170"/>
        <s v="TX501171"/>
        <s v="TX501172"/>
        <s v="TX501173"/>
        <s v="TX501174"/>
        <s v="TX501175"/>
        <s v="TX501176"/>
        <s v="TX501177"/>
        <s v="TX501178"/>
        <s v="TX501179"/>
        <s v="TX501180"/>
        <s v="TX501181"/>
        <s v="TX501182"/>
        <s v="TX501183"/>
        <s v="TX501184"/>
        <s v="TX501185"/>
        <s v="TX501186"/>
        <s v="TX501187"/>
        <s v="TX501188"/>
        <s v="TX501189"/>
        <s v="TX501190"/>
        <s v="TX501191"/>
        <s v="TX501192"/>
        <s v="TX501193"/>
        <s v="TX501194"/>
        <s v="TX501195"/>
        <s v="TX501196"/>
        <s v="TX501197"/>
        <s v="TX501198"/>
        <s v="TX501199"/>
        <s v="TX501200"/>
        <s v="TX501201"/>
        <s v="TX501202"/>
        <s v="TX501203"/>
        <s v="TX501204"/>
        <s v="TX501205"/>
        <s v="TX501206"/>
        <s v="TX501207"/>
        <s v="TX501208"/>
        <s v="TX501209"/>
        <s v="TX501210"/>
        <s v="TX501211"/>
        <s v="TX501212"/>
        <s v="TX501213"/>
        <s v="TX501214"/>
        <s v="TX501215"/>
        <s v="TX501216"/>
        <s v="TX501217"/>
        <s v="TX501218"/>
        <s v="TX501219"/>
        <s v="TX501220"/>
        <s v="TX501221"/>
        <s v="TX501222"/>
        <s v="TX501223"/>
        <s v="TX501224"/>
        <s v="TX501225"/>
        <s v="TX501226"/>
        <s v="TX501227"/>
        <s v="TX501228"/>
        <s v="TX501229"/>
        <s v="TX501230"/>
        <s v="TX501231"/>
        <s v="TX501232"/>
        <s v="TX501233"/>
        <s v="TX501234"/>
        <s v="TX501235"/>
        <s v="TX501236"/>
        <s v="TX501237"/>
        <s v="TX501238"/>
        <s v="TX501239"/>
        <s v="TX501240"/>
        <s v="TX501241"/>
        <s v="TX501242"/>
        <s v="TX501243"/>
        <s v="TX501244"/>
        <s v="TX501245"/>
        <s v="TX501246"/>
        <s v="TX501247"/>
        <s v="TX501248"/>
        <s v="TX501249"/>
        <s v="TX501250"/>
        <s v="TX501251"/>
        <s v="TX501252"/>
        <s v="TX501253"/>
        <s v="TX501254"/>
        <s v="TX501255"/>
        <s v="TX501256"/>
        <s v="TX501257"/>
        <s v="TX501258"/>
        <s v="TX501259"/>
        <s v="TX501260"/>
        <s v="TX501261"/>
        <s v="TX501262"/>
        <s v="TX501263"/>
        <s v="TX501264"/>
        <s v="TX501265"/>
        <s v="TX501266"/>
        <s v="TX501267"/>
        <s v="TX501268"/>
        <s v="TX501269"/>
        <s v="TX501270"/>
        <s v="TX501271"/>
        <s v="TX501272"/>
        <s v="TX501273"/>
        <s v="TX501274"/>
        <s v="TX501275"/>
        <s v="TX501276"/>
        <s v="TX501277"/>
        <s v="TX501278"/>
        <s v="TX501279"/>
        <s v="TX501280"/>
        <s v="TX501281"/>
        <s v="TX501282"/>
        <s v="TX501283"/>
        <s v="TX501284"/>
        <s v="TX501285"/>
        <s v="TX501286"/>
        <s v="TX501287"/>
        <s v="TX501288"/>
        <s v="TX501289"/>
        <s v="TX501290"/>
        <s v="TX501291"/>
        <s v="TX501292"/>
        <s v="TX501293"/>
        <s v="TX501294"/>
        <s v="TX501295"/>
        <s v="TX501296"/>
        <s v="TX501297"/>
        <s v="TX501298"/>
        <s v="TX501299"/>
        <s v="TX501300"/>
        <s v="TX501301"/>
        <s v="TX501302"/>
        <s v="TX501303"/>
        <s v="TX501304"/>
        <s v="TX501305"/>
        <s v="TX501306"/>
        <s v="TX501307"/>
        <s v="TX501308"/>
        <s v="TX501309"/>
        <s v="TX501310"/>
        <s v="TX501311"/>
        <s v="TX501312"/>
        <s v="TX501313"/>
        <s v="TX501314"/>
        <s v="TX501315"/>
        <s v="TX501316"/>
        <s v="TX501317"/>
        <s v="TX501318"/>
        <s v="TX501319"/>
        <s v="TX501320"/>
        <s v="TX501321"/>
        <s v="TX501322"/>
        <s v="TX501323"/>
        <s v="TX501324"/>
        <s v="TX501325"/>
        <s v="TX501326"/>
        <s v="TX501327"/>
        <s v="TX501328"/>
        <s v="TX501329"/>
        <s v="TX501330"/>
        <s v="TX501331"/>
        <s v="TX501332"/>
        <s v="TX501333"/>
        <s v="TX501334"/>
        <s v="TX501335"/>
        <s v="TX501336"/>
        <s v="TX501337"/>
        <s v="TX501338"/>
        <s v="TX501339"/>
        <s v="TX501340"/>
        <s v="TX501341"/>
        <s v="TX501342"/>
        <s v="TX501343"/>
        <s v="TX501344"/>
        <s v="TX501345"/>
        <s v="TX501346"/>
        <s v="TX501347"/>
        <s v="TX501348"/>
        <s v="TX501349"/>
        <s v="TX501350"/>
        <s v="TX501351"/>
        <s v="TX501352"/>
        <s v="TX501353"/>
        <s v="TX501354"/>
        <s v="TX501355"/>
        <s v="TX501356"/>
        <s v="TX501357"/>
        <s v="TX501358"/>
        <s v="TX501359"/>
        <s v="TX501360"/>
        <s v="TX501361"/>
        <s v="TX501362"/>
        <s v="TX501363"/>
        <s v="TX501364"/>
        <s v="TX501365"/>
        <s v="TX501366"/>
        <s v="TX501367"/>
        <s v="TX501368"/>
        <s v="TX501369"/>
        <s v="TX501370"/>
        <s v="TX501371"/>
        <s v="TX501372"/>
        <s v="TX501373"/>
        <s v="TX501374"/>
        <s v="TX501375"/>
        <s v="TX501376"/>
        <s v="TX501377"/>
        <s v="TX501378"/>
        <s v="TX501379"/>
        <s v="TX501380"/>
        <s v="TX501381"/>
        <s v="TX501382"/>
        <s v="TX501383"/>
        <s v="TX501384"/>
        <s v="TX501385"/>
        <s v="TX501386"/>
        <s v="TX501387"/>
        <s v="TX501388"/>
        <s v="TX501389"/>
        <s v="TX501390"/>
        <s v="TX501391"/>
        <s v="TX501392"/>
        <s v="TX501393"/>
        <s v="TX501394"/>
        <s v="TX501395"/>
        <s v="TX501396"/>
        <s v="TX501397"/>
        <s v="TX501398"/>
        <s v="TX501399"/>
        <s v="TX501400"/>
        <s v="TX501401"/>
        <s v="TX501402"/>
        <s v="TX501403"/>
        <s v="TX501404"/>
        <s v="TX501405"/>
        <s v="TX501406"/>
        <s v="TX501407"/>
        <s v="TX501408"/>
        <s v="TX501409"/>
        <s v="TX501410"/>
        <s v="TX501411"/>
        <s v="TX501412"/>
        <s v="TX501413"/>
        <s v="TX501414"/>
        <s v="TX501415"/>
        <s v="TX501416"/>
        <s v="TX501417"/>
        <s v="TX501418"/>
        <s v="TX501419"/>
        <s v="TX501420"/>
        <s v="TX501421"/>
        <s v="TX501422"/>
        <s v="TX501423"/>
        <s v="TX501424"/>
        <s v="TX501425"/>
        <s v="TX501426"/>
        <s v="TX501427"/>
        <s v="TX501428"/>
        <s v="TX501429"/>
        <s v="TX501430"/>
        <s v="TX501431"/>
        <s v="TX501432"/>
        <s v="TX501433"/>
        <s v="TX501434"/>
        <s v="TX501435"/>
        <s v="TX501436"/>
        <s v="TX501437"/>
        <s v="TX501438"/>
        <s v="TX501439"/>
        <s v="TX501440"/>
        <s v="TX501441"/>
        <s v="TX501442"/>
        <s v="TX501443"/>
        <s v="TX501444"/>
        <s v="TX501445"/>
        <s v="TX501446"/>
        <s v="TX501447"/>
        <s v="TX501448"/>
        <s v="TX501449"/>
        <s v="TX501450"/>
        <s v="TX501451"/>
        <s v="TX501452"/>
        <s v="TX501453"/>
        <s v="TX501454"/>
        <s v="TX501455"/>
        <s v="TX501456"/>
        <s v="TX501457"/>
        <s v="TX501458"/>
        <s v="TX501459"/>
        <s v="TX501460"/>
        <s v="TX501461"/>
        <s v="TX501462"/>
        <s v="TX501463"/>
        <s v="TX501464"/>
        <s v="TX501465"/>
        <s v="TX501466"/>
        <s v="TX501467"/>
        <s v="TX501468"/>
        <s v="TX501469"/>
        <s v="TX501470"/>
        <s v="TX501471"/>
        <s v="TX501472"/>
        <s v="TX501473"/>
        <s v="TX501474"/>
        <s v="TX501475"/>
        <s v="TX501476"/>
        <s v="TX501477"/>
        <s v="TX501478"/>
        <s v="TX501479"/>
        <s v="TX501480"/>
        <s v="TX501481"/>
        <s v="TX501482"/>
        <s v="TX501483"/>
        <s v="TX501484"/>
        <s v="TX501485"/>
        <s v="TX501486"/>
        <s v="TX501487"/>
        <s v="TX501488"/>
        <s v="TX501489"/>
        <s v="TX501490"/>
        <s v="TX501491"/>
        <s v="TX501492"/>
        <s v="TX501493"/>
        <s v="TX501494"/>
        <s v="TX501495"/>
        <s v="TX501496"/>
        <s v="TX501497"/>
        <s v="TX501498"/>
        <s v="TX501499"/>
        <s v="TX501500"/>
        <s v="TX501501"/>
        <s v="TX501502"/>
        <s v="TX501503"/>
        <s v="TX501504"/>
        <s v="TX501505"/>
        <s v="TX501506"/>
        <s v="TX501507"/>
        <s v="TX501508"/>
        <s v="TX501509"/>
        <s v="TX501510"/>
        <s v="TX501511"/>
        <s v="TX501512"/>
        <s v="TX501513"/>
        <s v="TX501514"/>
        <s v="TX501515"/>
        <s v="TX501516"/>
        <s v="TX501517"/>
        <s v="TX501518"/>
        <s v="TX501519"/>
        <s v="TX501520"/>
        <s v="TX501521"/>
        <s v="TX501522"/>
        <s v="TX501523"/>
        <s v="TX501524"/>
        <s v="TX501525"/>
        <s v="TX501526"/>
        <s v="TX501527"/>
        <s v="TX501528"/>
        <s v="TX501529"/>
        <s v="TX501530"/>
        <s v="TX501531"/>
        <s v="TX501532"/>
        <s v="TX501533"/>
        <s v="TX501534"/>
        <s v="TX501535"/>
        <s v="TX501536"/>
        <s v="TX501537"/>
        <s v="TX501538"/>
        <s v="TX501539"/>
        <s v="TX501540"/>
        <s v="TX501541"/>
        <s v="TX501542"/>
        <s v="TX501543"/>
        <s v="TX501544"/>
        <s v="TX501545"/>
        <s v="TX501546"/>
        <s v="TX501547"/>
        <s v="TX501548"/>
        <s v="TX501549"/>
        <s v="TX501550"/>
        <s v="TX501551"/>
        <s v="TX501552"/>
        <s v="TX501553"/>
        <s v="TX501554"/>
        <s v="TX501555"/>
        <s v="TX501556"/>
        <s v="TX501557"/>
        <s v="TX501558"/>
        <s v="TX501559"/>
        <s v="TX501560"/>
        <s v="TX501561"/>
        <s v="TX501562"/>
        <s v="TX501563"/>
        <s v="TX501564"/>
        <s v="TX501565"/>
        <s v="TX501566"/>
        <s v="TX501567"/>
        <s v="TX501568"/>
        <s v="TX501569"/>
        <s v="TX501570"/>
        <s v="TX501571"/>
        <s v="TX501572"/>
        <s v="TX501573"/>
        <s v="TX501574"/>
        <s v="TX501575"/>
        <s v="TX501576"/>
        <s v="TX501577"/>
        <s v="TX501578"/>
        <s v="TX501579"/>
        <s v="TX501580"/>
        <s v="TX501581"/>
        <s v="TX501582"/>
        <s v="TX501583"/>
        <s v="TX501584"/>
        <s v="TX501585"/>
        <s v="TX501586"/>
        <s v="TX501587"/>
        <s v="TX501588"/>
        <s v="TX501589"/>
        <s v="TX501590"/>
        <s v="TX501591"/>
        <s v="TX501592"/>
        <s v="TX501593"/>
        <s v="TX501594"/>
        <s v="TX501595"/>
        <s v="TX501596"/>
        <s v="TX501597"/>
        <s v="TX501598"/>
        <s v="TX501599"/>
        <s v="TX501600"/>
        <s v="TX501601"/>
        <s v="TX501602"/>
        <s v="TX501603"/>
        <s v="TX501604"/>
        <s v="TX501605"/>
        <s v="TX501606"/>
        <s v="TX501607"/>
        <s v="TX501608"/>
        <s v="TX501609"/>
        <s v="TX501610"/>
        <s v="TX501611"/>
        <s v="TX501612"/>
        <s v="TX501613"/>
        <s v="TX501614"/>
        <s v="TX501615"/>
        <s v="TX501616"/>
        <s v="TX501617"/>
        <s v="TX501618"/>
        <s v="TX501619"/>
        <s v="TX501620"/>
        <s v="TX501621"/>
        <s v="TX501622"/>
        <s v="TX501623"/>
        <s v="TX501624"/>
        <s v="TX501625"/>
        <s v="TX501626"/>
        <s v="TX501627"/>
        <s v="TX501628"/>
        <s v="TX501629"/>
        <s v="TX501630"/>
        <s v="TX501631"/>
        <s v="TX501632"/>
        <s v="TX501633"/>
        <s v="TX501634"/>
        <s v="TX501635"/>
        <s v="TX501636"/>
        <s v="TX501637"/>
        <s v="TX501638"/>
        <s v="TX501639"/>
        <s v="TX501640"/>
        <s v="TX501641"/>
        <s v="TX501642"/>
        <s v="TX501643"/>
        <s v="TX501644"/>
        <s v="TX501645"/>
        <s v="TX501646"/>
        <s v="TX501647"/>
        <s v="TX501648"/>
        <s v="TX501649"/>
        <s v="TX501650"/>
        <s v="TX501651"/>
        <s v="TX501652"/>
        <s v="TX501653"/>
        <s v="TX501654"/>
        <s v="TX501655"/>
        <s v="TX501656"/>
        <s v="TX501657"/>
        <s v="TX501658"/>
        <s v="TX501659"/>
        <s v="TX501660"/>
        <s v="TX501661"/>
        <s v="TX501662"/>
        <s v="TX501663"/>
        <s v="TX501664"/>
        <s v="TX501665"/>
        <s v="TX501666"/>
        <s v="TX501667"/>
        <s v="TX501668"/>
        <s v="TX501669"/>
        <s v="TX501670"/>
        <s v="TX501671"/>
        <s v="TX501672"/>
        <s v="TX501673"/>
        <s v="TX501674"/>
        <s v="TX501675"/>
        <s v="TX501676"/>
        <s v="TX501677"/>
        <s v="TX501678"/>
        <s v="TX501679"/>
        <s v="TX501680"/>
        <s v="TX501681"/>
        <s v="TX501682"/>
        <s v="TX501683"/>
        <s v="TX501684"/>
        <s v="TX501685"/>
        <s v="TX501686"/>
        <s v="TX501687"/>
        <s v="TX501688"/>
        <s v="TX501689"/>
        <s v="TX501690"/>
        <s v="TX501691"/>
        <s v="TX501692"/>
        <s v="TX501693"/>
        <s v="TX501694"/>
        <s v="TX501695"/>
        <s v="TX501696"/>
        <s v="TX501697"/>
        <s v="TX501698"/>
        <s v="TX501699"/>
        <s v="TX501700"/>
        <s v="TX501701"/>
        <s v="TX501702"/>
        <s v="TX501703"/>
        <s v="TX501704"/>
        <s v="TX501705"/>
        <s v="TX501706"/>
        <s v="TX501707"/>
        <s v="TX501708"/>
        <s v="TX501709"/>
        <s v="TX501710"/>
        <s v="TX501711"/>
        <s v="TX501712"/>
        <s v="TX501713"/>
        <s v="TX501714"/>
        <s v="TX501715"/>
        <s v="TX501716"/>
        <s v="TX501717"/>
        <s v="TX501718"/>
        <s v="TX501719"/>
        <s v="TX501720"/>
        <s v="TX501721"/>
        <s v="TX501722"/>
        <s v="TX501723"/>
        <s v="TX501724"/>
        <s v="TX501725"/>
        <s v="TX501726"/>
        <s v="TX501727"/>
        <s v="TX501728"/>
        <s v="TX501729"/>
        <s v="TX501730"/>
        <s v="TX501731"/>
        <s v="TX501732"/>
        <s v="TX501733"/>
        <s v="TX501734"/>
        <s v="TX501735"/>
        <s v="TX501736"/>
        <s v="TX501737"/>
        <s v="TX501738"/>
        <s v="TX501739"/>
        <s v="TX501740"/>
        <s v="TX501741"/>
        <s v="TX501742"/>
        <s v="TX501743"/>
        <s v="TX501744"/>
        <s v="TX501745"/>
        <s v="TX501746"/>
        <s v="TX501747"/>
        <s v="TX501748"/>
        <s v="TX501749"/>
        <s v="TX501750"/>
        <s v="TX501751"/>
        <s v="TX501752"/>
        <s v="TX501753"/>
        <s v="TX501754"/>
        <s v="TX501755"/>
        <s v="TX501756"/>
        <s v="TX501757"/>
        <s v="TX501758"/>
        <s v="TX501759"/>
        <s v="TX501760"/>
        <s v="TX501761"/>
        <s v="TX501762"/>
        <s v="TX501763"/>
        <s v="TX501764"/>
        <s v="TX501765"/>
        <s v="TX501766"/>
        <s v="TX501767"/>
        <s v="TX501768"/>
        <s v="TX501769"/>
        <s v="TX501770"/>
        <s v="TX501771"/>
        <s v="TX501772"/>
        <s v="TX501773"/>
        <s v="TX501774"/>
        <s v="TX501775"/>
        <s v="TX501776"/>
        <s v="TX501777"/>
        <s v="TX501778"/>
        <s v="TX501779"/>
        <s v="TX501780"/>
        <s v="TX501781"/>
        <s v="TX501782"/>
        <s v="TX501783"/>
        <s v="TX501784"/>
        <s v="TX501785"/>
        <s v="TX501786"/>
        <s v="TX501787"/>
        <s v="TX501788"/>
        <s v="TX501789"/>
        <s v="TX501790"/>
        <s v="TX501791"/>
        <s v="TX501792"/>
        <s v="TX501793"/>
        <s v="TX501794"/>
        <s v="TX501795"/>
        <s v="TX501796"/>
        <s v="TX501797"/>
        <s v="TX501798"/>
        <s v="TX501799"/>
        <s v="TX501800"/>
        <s v="TX501801"/>
        <s v="TX501802"/>
        <s v="TX501803"/>
        <s v="TX501804"/>
        <s v="TX501805"/>
        <s v="TX501806"/>
        <s v="TX501807"/>
        <s v="TX501808"/>
        <s v="TX501809"/>
        <s v="TX501810"/>
        <s v="TX501811"/>
        <s v="TX501812"/>
        <s v="TX501813"/>
        <s v="TX501814"/>
        <s v="TX501815"/>
        <s v="TX501816"/>
        <s v="TX501817"/>
        <s v="TX501818"/>
        <s v="TX501819"/>
        <s v="TX501820"/>
        <s v="TX501821"/>
        <s v="TX501822"/>
        <s v="TX501823"/>
        <s v="TX501824"/>
        <s v="TX501825"/>
        <s v="TX501826"/>
        <s v="TX501827"/>
        <s v="TX501828"/>
        <s v="TX501829"/>
        <s v="TX501830"/>
        <s v="TX501831"/>
        <s v="TX501832"/>
        <s v="TX501833"/>
        <s v="TX501834"/>
        <s v="TX501835"/>
        <s v="TX501836"/>
        <s v="TX501837"/>
        <s v="TX501838"/>
        <s v="TX501839"/>
        <s v="TX501840"/>
        <s v="TX501841"/>
        <s v="TX501842"/>
        <s v="TX501843"/>
        <s v="TX501844"/>
        <s v="TX501845"/>
        <s v="TX501846"/>
        <s v="TX501847"/>
        <s v="TX501848"/>
        <s v="TX501849"/>
        <s v="TX501850"/>
        <s v="TX501851"/>
        <s v="TX501852"/>
        <s v="TX501853"/>
        <s v="TX501854"/>
        <s v="TX501855"/>
        <s v="TX501856"/>
        <s v="TX501857"/>
        <s v="TX501858"/>
        <s v="TX501859"/>
        <s v="TX501860"/>
        <s v="TX501861"/>
        <s v="TX501862"/>
        <s v="TX501863"/>
        <s v="TX501864"/>
        <s v="TX501865"/>
        <s v="TX501866"/>
        <s v="TX501867"/>
        <s v="TX501868"/>
        <s v="TX501869"/>
        <s v="TX501870"/>
        <s v="TX501871"/>
        <s v="TX501872"/>
        <s v="TX501873"/>
        <s v="TX501874"/>
        <s v="TX501875"/>
        <s v="TX501876"/>
        <s v="TX501877"/>
        <s v="TX501878"/>
        <s v="TX501879"/>
        <s v="TX501880"/>
        <s v="TX501881"/>
        <s v="TX501882"/>
        <s v="TX501883"/>
        <s v="TX501884"/>
        <s v="TX501885"/>
        <s v="TX501886"/>
        <s v="TX501887"/>
        <s v="TX501888"/>
        <s v="TX501889"/>
        <s v="TX501890"/>
        <s v="TX501891"/>
        <s v="TX501892"/>
        <s v="TX501893"/>
        <s v="TX501894"/>
        <s v="TX501895"/>
        <s v="TX501896"/>
        <s v="TX501897"/>
        <s v="TX501898"/>
        <s v="TX501899"/>
        <s v="TX501900"/>
        <s v="TX501901"/>
        <s v="TX501902"/>
        <s v="TX501903"/>
        <s v="TX501904"/>
        <s v="TX501905"/>
        <s v="TX501906"/>
        <s v="TX501907"/>
        <s v="TX501908"/>
        <s v="TX501909"/>
        <s v="TX501910"/>
        <s v="TX501911"/>
        <s v="TX501912"/>
        <s v="TX501913"/>
        <s v="TX501914"/>
        <s v="TX501915"/>
        <s v="TX501916"/>
        <s v="TX501917"/>
        <s v="TX501918"/>
        <s v="TX501919"/>
        <s v="TX501920"/>
        <s v="TX501921"/>
        <s v="TX501922"/>
        <s v="TX501923"/>
        <s v="TX501924"/>
        <s v="TX501925"/>
        <s v="TX501926"/>
        <s v="TX501927"/>
        <s v="TX501928"/>
        <s v="TX501929"/>
        <s v="TX501930"/>
        <s v="TX501931"/>
        <s v="TX501932"/>
        <s v="TX501933"/>
        <s v="TX501934"/>
        <s v="TX501935"/>
        <s v="TX501936"/>
        <s v="TX501937"/>
        <s v="TX501938"/>
        <s v="TX501939"/>
        <s v="TX501940"/>
        <s v="TX501941"/>
        <s v="TX501942"/>
        <s v="TX501943"/>
        <s v="TX501944"/>
        <s v="TX501945"/>
        <s v="TX501946"/>
        <s v="TX501947"/>
        <s v="TX501948"/>
        <s v="TX501949"/>
        <s v="TX501950"/>
        <s v="TX501951"/>
        <s v="TX501952"/>
        <s v="TX501953"/>
        <s v="TX501954"/>
        <s v="TX501955"/>
        <s v="TX501956"/>
        <s v="TX501957"/>
        <s v="TX501958"/>
        <s v="TX501959"/>
        <s v="TX501960"/>
        <s v="TX501961"/>
        <s v="TX501962"/>
        <s v="TX501963"/>
        <s v="TX501964"/>
        <s v="TX501965"/>
        <s v="TX501966"/>
        <s v="TX501967"/>
        <s v="TX501968"/>
        <s v="TX501969"/>
        <s v="TX501970"/>
        <s v="TX501971"/>
        <s v="TX501972"/>
        <s v="TX501973"/>
        <s v="TX501974"/>
        <s v="TX501975"/>
        <s v="TX501976"/>
        <s v="TX501977"/>
        <s v="TX501978"/>
        <s v="TX501979"/>
        <s v="TX501980"/>
        <s v="TX501981"/>
        <s v="TX501982"/>
        <s v="TX501983"/>
        <s v="TX501984"/>
        <s v="TX501985"/>
        <s v="TX501986"/>
        <s v="TX501987"/>
        <s v="TX501988"/>
        <s v="TX501989"/>
        <s v="TX501990"/>
        <s v="TX501991"/>
        <s v="TX501992"/>
        <s v="TX501993"/>
        <s v="TX501994"/>
        <s v="TX501995"/>
        <s v="TX501996"/>
        <s v="TX501997"/>
        <s v="TX501998"/>
        <s v="TX501999"/>
        <s v="TX502000"/>
        <s v="TX502001"/>
        <s v="TX502002"/>
        <s v="TX502003"/>
        <s v="TX502004"/>
        <s v="TX502005"/>
        <s v="TX502006"/>
        <s v="TX502007"/>
        <s v="TX502008"/>
        <s v="TX502009"/>
        <s v="TX502010"/>
        <s v="TX502011"/>
        <s v="TX502012"/>
        <s v="TX502013"/>
        <s v="TX502014"/>
        <s v="TX502015"/>
        <s v="TX502016"/>
        <s v="TX502017"/>
        <s v="TX502018"/>
        <s v="TX502019"/>
        <s v="TX502020"/>
        <s v="TX502021"/>
        <s v="TX502022"/>
        <s v="TX502023"/>
        <s v="TX502024"/>
        <s v="TX502025"/>
        <s v="TX502026"/>
        <s v="TX502027"/>
        <s v="TX502028"/>
        <s v="TX502029"/>
        <s v="TX502030"/>
        <s v="TX502031"/>
        <s v="TX502032"/>
        <s v="TX502033"/>
        <s v="TX502034"/>
        <s v="TX502035"/>
        <s v="TX502036"/>
        <s v="TX502037"/>
        <s v="TX502038"/>
        <s v="TX502039"/>
        <s v="TX502040"/>
        <s v="TX502041"/>
        <s v="TX502042"/>
        <s v="TX502043"/>
        <s v="TX502044"/>
        <s v="TX502045"/>
        <s v="TX502046"/>
        <s v="TX502047"/>
        <s v="TX502048"/>
        <s v="TX502049"/>
        <s v="TX502050"/>
        <s v="TX502051"/>
        <s v="TX502052"/>
        <s v="TX502053"/>
        <s v="TX502054"/>
        <s v="TX502055"/>
        <s v="TX502056"/>
        <s v="TX502057"/>
        <s v="TX502058"/>
        <s v="TX502059"/>
        <s v="TX502060"/>
        <s v="TX502061"/>
        <s v="TX502062"/>
        <s v="TX502063"/>
        <s v="TX502064"/>
        <s v="TX502065"/>
        <s v="TX502066"/>
        <s v="TX502067"/>
        <s v="TX502068"/>
        <s v="TX502069"/>
        <s v="TX502070"/>
        <s v="TX502071"/>
        <s v="TX502072"/>
        <s v="TX502073"/>
        <s v="TX502074"/>
        <s v="TX502075"/>
        <s v="TX502076"/>
        <s v="TX502077"/>
        <s v="TX502078"/>
        <s v="TX502079"/>
        <s v="TX502080"/>
        <s v="TX502081"/>
        <s v="TX502082"/>
        <s v="TX502083"/>
        <s v="TX502084"/>
        <s v="TX502085"/>
        <s v="TX502086"/>
        <s v="TX502087"/>
        <s v="TX502088"/>
        <s v="TX502089"/>
        <s v="TX502090"/>
        <s v="TX502091"/>
        <s v="TX502092"/>
        <s v="TX502093"/>
        <s v="TX502094"/>
        <s v="TX502095"/>
        <s v="TX502096"/>
        <s v="TX502097"/>
        <s v="TX502098"/>
        <s v="TX502099"/>
        <s v="TX502100"/>
        <s v="TX502101"/>
        <s v="TX502102"/>
        <s v="TX502103"/>
        <s v="TX502104"/>
        <s v="TX502105"/>
        <s v="TX502106"/>
        <s v="TX502107"/>
        <s v="TX502108"/>
        <s v="TX502109"/>
        <s v="TX502110"/>
        <s v="TX502111"/>
        <s v="TX502112"/>
        <s v="TX502113"/>
        <s v="TX502114"/>
        <s v="TX502115"/>
        <s v="TX502116"/>
        <s v="TX502117"/>
        <s v="TX502118"/>
        <s v="TX502119"/>
        <s v="TX502120"/>
        <s v="TX502121"/>
        <s v="TX502122"/>
        <s v="TX502123"/>
        <s v="TX502124"/>
        <s v="TX502125"/>
        <s v="TX502126"/>
        <s v="TX502127"/>
        <s v="TX502128"/>
        <s v="TX502129"/>
        <s v="TX502130"/>
        <s v="TX502131"/>
        <s v="TX502132"/>
        <s v="TX502133"/>
        <s v="TX502134"/>
        <s v="TX502135"/>
        <s v="TX502136"/>
        <s v="TX502137"/>
        <s v="TX502138"/>
        <s v="TX502139"/>
        <s v="TX502140"/>
        <s v="TX502141"/>
        <s v="TX502142"/>
        <s v="TX502143"/>
        <s v="TX502144"/>
        <s v="TX502145"/>
        <s v="TX502146"/>
        <s v="TX502147"/>
        <s v="TX502148"/>
        <s v="TX502149"/>
        <s v="TX502150"/>
        <s v="TX502151"/>
        <s v="TX502152"/>
        <s v="TX502153"/>
        <s v="TX502154"/>
        <s v="TX502155"/>
        <s v="TX502156"/>
        <s v="TX502157"/>
        <s v="TX502158"/>
        <s v="TX502159"/>
        <s v="TX502160"/>
        <s v="TX502161"/>
        <s v="TX502162"/>
        <s v="TX502163"/>
        <s v="TX502164"/>
        <s v="TX502165"/>
        <s v="TX502166"/>
        <s v="TX502167"/>
        <s v="TX502168"/>
        <s v="TX502169"/>
        <s v="TX502170"/>
        <s v="TX502171"/>
        <s v="TX502172"/>
        <s v="TX502173"/>
        <s v="TX502174"/>
        <s v="TX502175"/>
        <s v="TX502176"/>
        <s v="TX502177"/>
        <s v="TX502178"/>
        <s v="TX502179"/>
        <s v="TX502180"/>
        <s v="TX502181"/>
        <s v="TX502182"/>
        <s v="TX502183"/>
        <s v="TX502184"/>
        <s v="TX502185"/>
        <s v="TX502186"/>
        <s v="TX502187"/>
        <s v="TX502188"/>
        <s v="TX502189"/>
        <s v="TX502190"/>
        <s v="TX502191"/>
        <s v="TX502192"/>
        <s v="TX502193"/>
        <s v="TX502194"/>
        <s v="TX502195"/>
        <s v="TX502196"/>
        <s v="TX502197"/>
        <s v="TX502198"/>
        <s v="TX502199"/>
        <s v="TX502200"/>
        <s v="TX502201"/>
        <s v="TX502202"/>
        <s v="TX502203"/>
        <s v="TX502204"/>
        <s v="TX502205"/>
        <s v="TX502206"/>
        <s v="TX502207"/>
        <s v="TX502208"/>
        <s v="TX502209"/>
        <s v="TX502210"/>
        <s v="TX502211"/>
        <s v="TX502212"/>
        <s v="TX502213"/>
        <s v="TX502214"/>
        <s v="TX502215"/>
        <s v="TX502216"/>
        <s v="TX502217"/>
        <s v="TX502218"/>
        <s v="TX502219"/>
        <s v="TX502220"/>
        <s v="TX502221"/>
        <s v="TX502222"/>
        <s v="TX502223"/>
        <s v="TX502224"/>
        <s v="TX502225"/>
        <s v="TX502226"/>
        <s v="TX502227"/>
        <s v="TX502228"/>
        <s v="TX502229"/>
        <s v="TX502230"/>
        <s v="TX502231"/>
        <s v="TX502232"/>
        <s v="TX502233"/>
        <s v="TX502234"/>
        <s v="TX502235"/>
        <s v="TX502236"/>
        <s v="TX502237"/>
        <s v="TX502238"/>
        <s v="TX502239"/>
        <s v="TX502240"/>
        <s v="TX502241"/>
        <s v="TX502242"/>
        <s v="TX502243"/>
        <s v="TX502244"/>
        <s v="TX502245"/>
        <s v="TX502246"/>
        <s v="TX502247"/>
        <s v="TX502248"/>
        <s v="TX502249"/>
        <s v="TX502250"/>
        <s v="TX502251"/>
        <s v="TX502252"/>
        <s v="TX502253"/>
        <s v="TX502254"/>
        <s v="TX502255"/>
        <s v="TX502256"/>
        <s v="TX502257"/>
        <s v="TX502258"/>
        <s v="TX502259"/>
        <s v="TX502260"/>
        <s v="TX502261"/>
        <s v="TX502262"/>
        <s v="TX502263"/>
        <s v="TX502264"/>
        <s v="TX502265"/>
        <s v="TX502266"/>
        <s v="TX502267"/>
        <s v="TX502268"/>
        <s v="TX502269"/>
        <s v="TX502270"/>
        <s v="TX502271"/>
        <s v="TX502272"/>
        <s v="TX502273"/>
        <s v="TX502274"/>
        <s v="TX502275"/>
        <s v="TX502276"/>
        <s v="TX502277"/>
        <s v="TX502278"/>
        <s v="TX502279"/>
        <s v="TX502280"/>
        <s v="TX502281"/>
        <s v="TX502282"/>
        <s v="TX502283"/>
        <s v="TX502284"/>
        <s v="TX502285"/>
        <s v="TX502286"/>
        <s v="TX502287"/>
        <s v="TX502288"/>
        <s v="TX502289"/>
        <s v="TX502290"/>
        <s v="TX502291"/>
        <s v="TX502292"/>
        <s v="TX502293"/>
        <s v="TX502294"/>
        <s v="TX502295"/>
        <s v="TX502296"/>
        <s v="TX502297"/>
        <s v="TX502298"/>
        <s v="TX502299"/>
        <s v="TX502300"/>
        <s v="TX502301"/>
        <s v="TX502302"/>
        <s v="TX502303"/>
        <s v="TX502304"/>
        <s v="TX502305"/>
        <s v="TX502306"/>
        <s v="TX502307"/>
        <s v="TX502308"/>
        <s v="TX502309"/>
        <s v="TX502310"/>
        <s v="TX502311"/>
        <s v="TX502312"/>
        <s v="TX502313"/>
        <s v="TX502314"/>
        <s v="TX502315"/>
        <s v="TX502316"/>
        <s v="TX502317"/>
        <s v="TX502318"/>
        <s v="TX502319"/>
        <s v="TX502320"/>
        <s v="TX502321"/>
        <s v="TX502322"/>
        <s v="TX502323"/>
        <s v="TX502324"/>
        <s v="TX502325"/>
        <s v="TX502326"/>
        <s v="TX502327"/>
        <s v="TX502328"/>
        <s v="TX502329"/>
        <s v="TX502330"/>
        <s v="TX502331"/>
        <s v="TX502332"/>
        <s v="TX502333"/>
        <s v="TX502334"/>
        <s v="TX502335"/>
        <s v="TX502336"/>
        <s v="TX502337"/>
        <s v="TX502338"/>
        <s v="TX502339"/>
        <s v="TX502340"/>
        <s v="TX502341"/>
        <s v="TX502342"/>
        <s v="TX502343"/>
        <s v="TX502344"/>
        <s v="TX502345"/>
        <s v="TX502346"/>
        <s v="TX502347"/>
        <s v="TX502348"/>
        <s v="TX502349"/>
        <s v="TX502350"/>
        <s v="TX502351"/>
        <s v="TX502352"/>
        <s v="TX502353"/>
        <s v="TX502354"/>
        <s v="TX502355"/>
        <s v="TX502356"/>
        <s v="TX502357"/>
        <s v="TX502358"/>
        <s v="TX502359"/>
        <s v="TX502360"/>
        <s v="TX502361"/>
        <s v="TX502362"/>
        <s v="TX502363"/>
        <s v="TX502364"/>
        <s v="TX502365"/>
        <s v="TX502366"/>
        <s v="TX502367"/>
        <s v="TX502368"/>
        <s v="TX502369"/>
        <s v="TX502370"/>
        <s v="TX502371"/>
        <s v="TX502372"/>
        <s v="TX502373"/>
        <s v="TX502374"/>
        <s v="TX502375"/>
        <s v="TX502376"/>
        <s v="TX502377"/>
        <s v="TX502378"/>
        <s v="TX502379"/>
        <s v="TX502380"/>
        <s v="TX502381"/>
        <s v="TX502382"/>
        <s v="TX502383"/>
        <s v="TX502384"/>
        <s v="TX502385"/>
        <s v="TX502386"/>
        <s v="TX502387"/>
        <s v="TX502388"/>
        <s v="TX502389"/>
        <s v="TX502390"/>
        <s v="TX502391"/>
        <s v="TX502392"/>
        <s v="TX502393"/>
        <s v="TX502394"/>
        <s v="TX502395"/>
        <s v="TX502396"/>
        <s v="TX502397"/>
        <s v="TX502398"/>
        <s v="TX502399"/>
        <s v="TX50240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7"/>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6"/>
    </cacheField>
    <cacheField name="Ship Date" numFmtId="15">
      <sharedItems containsSemiMixedTypes="0" containsNonDate="0" containsDate="1" containsString="0" minDate="2025-01-02T00:00:00" maxDate="2025-04-11T00:00:00"/>
    </cacheField>
    <cacheField name="Customer Gender" numFmtId="0">
      <sharedItems count="4">
        <s v=""/>
        <s v="M"/>
        <s v="F"/>
        <s v="O"/>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Days (Order Date)" numFmtId="0" databaseField="0">
      <fieldGroup base="5">
        <rangePr groupBy="days" startDate="2025-01-01T00:00:00" endDate="2025-03-30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3-2025"/>
        </groupItems>
      </fieldGroup>
    </cacheField>
    <cacheField name="Months (Order Date)" numFmtId="0" databaseField="0">
      <fieldGroup base="5">
        <rangePr groupBy="months" startDate="2025-01-01T00:00:00" endDate="2025-03-30T00:00:00"/>
        <groupItems count="14">
          <s v="&lt;01-01-2025"/>
          <s v="Jan"/>
          <s v="Feb"/>
          <s v="Mar"/>
          <s v="Apr"/>
          <s v="May"/>
          <s v="Jun"/>
          <s v="Jul"/>
          <s v="Aug"/>
          <s v="Sep"/>
          <s v="Oct"/>
          <s v="Nov"/>
          <s v="Dec"/>
          <s v="&gt;30-03-2025"/>
        </groupItems>
      </fieldGroup>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s>
  <extLst>
    <ext xmlns:x14="http://schemas.microsoft.com/office/spreadsheetml/2009/9/main" uri="{725AE2AE-9491-48be-B2B4-4EB974FC3084}">
      <x14:pivotCacheDefinition pivotCacheId="6863757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x v="0"/>
    <x v="0"/>
    <x v="0"/>
    <n v="10.9"/>
    <n v="10.9"/>
    <x v="0"/>
    <d v="2025-01-06T00:00:00"/>
    <x v="0"/>
    <x v="0"/>
    <x v="0"/>
    <x v="0"/>
    <x v="0"/>
    <x v="0"/>
    <x v="0"/>
    <x v="0"/>
  </r>
  <r>
    <x v="1"/>
    <x v="1"/>
    <x v="1"/>
    <n v="30.6"/>
    <n v="61.2"/>
    <x v="0"/>
    <d v="2025-01-03T00:00:00"/>
    <x v="1"/>
    <x v="0"/>
    <x v="0"/>
    <x v="0"/>
    <x v="1"/>
    <x v="1"/>
    <x v="0"/>
    <x v="1"/>
  </r>
  <r>
    <x v="2"/>
    <x v="2"/>
    <x v="2"/>
    <n v="109.4"/>
    <n v="328.20000000000005"/>
    <x v="0"/>
    <d v="2025-01-04T00:00:00"/>
    <x v="2"/>
    <x v="0"/>
    <x v="1"/>
    <x v="0"/>
    <x v="2"/>
    <x v="2"/>
    <x v="0"/>
    <x v="2"/>
  </r>
  <r>
    <x v="3"/>
    <x v="3"/>
    <x v="3"/>
    <n v="37.700000000000003"/>
    <n v="263.90000000000003"/>
    <x v="0"/>
    <d v="2025-01-02T00:00:00"/>
    <x v="2"/>
    <x v="0"/>
    <x v="0"/>
    <x v="0"/>
    <x v="2"/>
    <x v="3"/>
    <x v="0"/>
    <x v="2"/>
  </r>
  <r>
    <x v="4"/>
    <x v="4"/>
    <x v="2"/>
    <n v="56.7"/>
    <n v="170.10000000000002"/>
    <x v="0"/>
    <d v="2025-01-04T00:00:00"/>
    <x v="2"/>
    <x v="0"/>
    <x v="2"/>
    <x v="0"/>
    <x v="3"/>
    <x v="2"/>
    <x v="0"/>
    <x v="2"/>
  </r>
  <r>
    <x v="5"/>
    <x v="1"/>
    <x v="4"/>
    <n v="83.5"/>
    <n v="1002"/>
    <x v="0"/>
    <d v="2025-01-04T00:00:00"/>
    <x v="1"/>
    <x v="1"/>
    <x v="0"/>
    <x v="0"/>
    <x v="3"/>
    <x v="2"/>
    <x v="0"/>
    <x v="1"/>
  </r>
  <r>
    <x v="6"/>
    <x v="5"/>
    <x v="0"/>
    <n v="55.3"/>
    <n v="55.3"/>
    <x v="0"/>
    <d v="2025-01-02T00:00:00"/>
    <x v="2"/>
    <x v="0"/>
    <x v="0"/>
    <x v="0"/>
    <x v="3"/>
    <x v="3"/>
    <x v="0"/>
    <x v="2"/>
  </r>
  <r>
    <x v="7"/>
    <x v="6"/>
    <x v="1"/>
    <n v="40.299999999999997"/>
    <n v="80.599999999999994"/>
    <x v="0"/>
    <d v="2025-01-02T00:00:00"/>
    <x v="1"/>
    <x v="2"/>
    <x v="2"/>
    <x v="0"/>
    <x v="3"/>
    <x v="3"/>
    <x v="0"/>
    <x v="1"/>
  </r>
  <r>
    <x v="8"/>
    <x v="7"/>
    <x v="5"/>
    <n v="35.700000000000003"/>
    <n v="392.70000000000005"/>
    <x v="0"/>
    <d v="2025-01-02T00:00:00"/>
    <x v="2"/>
    <x v="0"/>
    <x v="0"/>
    <x v="0"/>
    <x v="3"/>
    <x v="3"/>
    <x v="0"/>
    <x v="2"/>
  </r>
  <r>
    <x v="9"/>
    <x v="8"/>
    <x v="3"/>
    <n v="22.4"/>
    <n v="156.79999999999998"/>
    <x v="0"/>
    <d v="2025-01-04T00:00:00"/>
    <x v="1"/>
    <x v="0"/>
    <x v="1"/>
    <x v="0"/>
    <x v="3"/>
    <x v="2"/>
    <x v="0"/>
    <x v="1"/>
  </r>
  <r>
    <x v="10"/>
    <x v="9"/>
    <x v="1"/>
    <n v="54.4"/>
    <n v="108.8"/>
    <x v="0"/>
    <d v="2025-01-07T00:00:00"/>
    <x v="2"/>
    <x v="0"/>
    <x v="0"/>
    <x v="0"/>
    <x v="3"/>
    <x v="4"/>
    <x v="0"/>
    <x v="2"/>
  </r>
  <r>
    <x v="11"/>
    <x v="9"/>
    <x v="1"/>
    <n v="49"/>
    <n v="98"/>
    <x v="0"/>
    <d v="2025-01-03T00:00:00"/>
    <x v="2"/>
    <x v="2"/>
    <x v="1"/>
    <x v="0"/>
    <x v="3"/>
    <x v="1"/>
    <x v="0"/>
    <x v="2"/>
  </r>
  <r>
    <x v="12"/>
    <x v="5"/>
    <x v="3"/>
    <n v="118.6"/>
    <n v="830.19999999999993"/>
    <x v="0"/>
    <d v="2025-01-05T00:00:00"/>
    <x v="2"/>
    <x v="1"/>
    <x v="0"/>
    <x v="0"/>
    <x v="4"/>
    <x v="5"/>
    <x v="0"/>
    <x v="2"/>
  </r>
  <r>
    <x v="13"/>
    <x v="6"/>
    <x v="6"/>
    <n v="88.4"/>
    <n v="2386.8000000000002"/>
    <x v="0"/>
    <d v="2025-01-08T00:00:00"/>
    <x v="1"/>
    <x v="3"/>
    <x v="0"/>
    <x v="0"/>
    <x v="5"/>
    <x v="6"/>
    <x v="0"/>
    <x v="1"/>
  </r>
  <r>
    <x v="14"/>
    <x v="10"/>
    <x v="0"/>
    <n v="66.7"/>
    <n v="66.7"/>
    <x v="0"/>
    <d v="2025-01-04T00:00:00"/>
    <x v="1"/>
    <x v="0"/>
    <x v="0"/>
    <x v="0"/>
    <x v="6"/>
    <x v="2"/>
    <x v="0"/>
    <x v="1"/>
  </r>
  <r>
    <x v="15"/>
    <x v="9"/>
    <x v="7"/>
    <n v="30.9"/>
    <n v="309"/>
    <x v="0"/>
    <d v="2025-01-02T00:00:00"/>
    <x v="1"/>
    <x v="1"/>
    <x v="2"/>
    <x v="0"/>
    <x v="6"/>
    <x v="3"/>
    <x v="0"/>
    <x v="1"/>
  </r>
  <r>
    <x v="16"/>
    <x v="4"/>
    <x v="2"/>
    <n v="31.1"/>
    <n v="93.300000000000011"/>
    <x v="0"/>
    <d v="2025-01-02T00:00:00"/>
    <x v="2"/>
    <x v="0"/>
    <x v="1"/>
    <x v="0"/>
    <x v="6"/>
    <x v="3"/>
    <x v="0"/>
    <x v="2"/>
  </r>
  <r>
    <x v="17"/>
    <x v="7"/>
    <x v="2"/>
    <n v="36.6"/>
    <n v="109.80000000000001"/>
    <x v="0"/>
    <d v="2025-01-04T00:00:00"/>
    <x v="2"/>
    <x v="0"/>
    <x v="0"/>
    <x v="0"/>
    <x v="7"/>
    <x v="2"/>
    <x v="0"/>
    <x v="2"/>
  </r>
  <r>
    <x v="18"/>
    <x v="6"/>
    <x v="8"/>
    <n v="51.1"/>
    <n v="408.8"/>
    <x v="0"/>
    <d v="2025-01-04T00:00:00"/>
    <x v="2"/>
    <x v="2"/>
    <x v="3"/>
    <x v="0"/>
    <x v="7"/>
    <x v="2"/>
    <x v="0"/>
    <x v="2"/>
  </r>
  <r>
    <x v="19"/>
    <x v="9"/>
    <x v="0"/>
    <n v="25.2"/>
    <n v="25.2"/>
    <x v="0"/>
    <d v="2025-01-02T00:00:00"/>
    <x v="2"/>
    <x v="1"/>
    <x v="2"/>
    <x v="0"/>
    <x v="8"/>
    <x v="3"/>
    <x v="0"/>
    <x v="2"/>
  </r>
  <r>
    <x v="20"/>
    <x v="9"/>
    <x v="9"/>
    <n v="43.8"/>
    <n v="219"/>
    <x v="0"/>
    <d v="2025-01-04T00:00:00"/>
    <x v="2"/>
    <x v="2"/>
    <x v="0"/>
    <x v="0"/>
    <x v="8"/>
    <x v="2"/>
    <x v="0"/>
    <x v="2"/>
  </r>
  <r>
    <x v="21"/>
    <x v="8"/>
    <x v="4"/>
    <n v="46.7"/>
    <n v="560.40000000000009"/>
    <x v="0"/>
    <d v="2025-01-02T00:00:00"/>
    <x v="2"/>
    <x v="1"/>
    <x v="1"/>
    <x v="0"/>
    <x v="8"/>
    <x v="3"/>
    <x v="0"/>
    <x v="2"/>
  </r>
  <r>
    <x v="22"/>
    <x v="3"/>
    <x v="10"/>
    <n v="79.900000000000006"/>
    <n v="1518.1000000000001"/>
    <x v="0"/>
    <d v="2025-01-02T00:00:00"/>
    <x v="1"/>
    <x v="0"/>
    <x v="2"/>
    <x v="0"/>
    <x v="8"/>
    <x v="3"/>
    <x v="0"/>
    <x v="1"/>
  </r>
  <r>
    <x v="23"/>
    <x v="11"/>
    <x v="8"/>
    <n v="26.4"/>
    <n v="211.2"/>
    <x v="0"/>
    <d v="2025-01-02T00:00:00"/>
    <x v="2"/>
    <x v="3"/>
    <x v="0"/>
    <x v="0"/>
    <x v="8"/>
    <x v="3"/>
    <x v="0"/>
    <x v="2"/>
  </r>
  <r>
    <x v="24"/>
    <x v="12"/>
    <x v="8"/>
    <n v="88.8"/>
    <n v="710.4"/>
    <x v="0"/>
    <d v="2025-01-02T00:00:00"/>
    <x v="2"/>
    <x v="4"/>
    <x v="0"/>
    <x v="0"/>
    <x v="8"/>
    <x v="3"/>
    <x v="0"/>
    <x v="2"/>
  </r>
  <r>
    <x v="25"/>
    <x v="0"/>
    <x v="7"/>
    <n v="17.5"/>
    <n v="175"/>
    <x v="0"/>
    <d v="2025-01-02T00:00:00"/>
    <x v="2"/>
    <x v="2"/>
    <x v="0"/>
    <x v="0"/>
    <x v="9"/>
    <x v="3"/>
    <x v="0"/>
    <x v="2"/>
  </r>
  <r>
    <x v="26"/>
    <x v="1"/>
    <x v="11"/>
    <n v="38.700000000000003"/>
    <n v="348.3"/>
    <x v="0"/>
    <d v="2025-01-04T00:00:00"/>
    <x v="1"/>
    <x v="1"/>
    <x v="0"/>
    <x v="0"/>
    <x v="10"/>
    <x v="2"/>
    <x v="0"/>
    <x v="1"/>
  </r>
  <r>
    <x v="27"/>
    <x v="13"/>
    <x v="12"/>
    <n v="57.2"/>
    <n v="228.8"/>
    <x v="0"/>
    <d v="2025-01-03T00:00:00"/>
    <x v="0"/>
    <x v="1"/>
    <x v="2"/>
    <x v="0"/>
    <x v="11"/>
    <x v="1"/>
    <x v="0"/>
    <x v="0"/>
  </r>
  <r>
    <x v="28"/>
    <x v="6"/>
    <x v="9"/>
    <n v="50.9"/>
    <n v="254.5"/>
    <x v="0"/>
    <d v="2025-01-07T00:00:00"/>
    <x v="0"/>
    <x v="1"/>
    <x v="2"/>
    <x v="0"/>
    <x v="12"/>
    <x v="4"/>
    <x v="0"/>
    <x v="0"/>
  </r>
  <r>
    <x v="29"/>
    <x v="14"/>
    <x v="3"/>
    <n v="41"/>
    <n v="287"/>
    <x v="0"/>
    <d v="2025-01-05T00:00:00"/>
    <x v="2"/>
    <x v="1"/>
    <x v="0"/>
    <x v="0"/>
    <x v="13"/>
    <x v="5"/>
    <x v="0"/>
    <x v="2"/>
  </r>
  <r>
    <x v="30"/>
    <x v="8"/>
    <x v="3"/>
    <n v="19.100000000000001"/>
    <n v="133.70000000000002"/>
    <x v="0"/>
    <d v="2025-01-05T00:00:00"/>
    <x v="1"/>
    <x v="0"/>
    <x v="2"/>
    <x v="0"/>
    <x v="14"/>
    <x v="5"/>
    <x v="0"/>
    <x v="1"/>
  </r>
  <r>
    <x v="31"/>
    <x v="2"/>
    <x v="9"/>
    <n v="166.1"/>
    <n v="830.5"/>
    <x v="0"/>
    <d v="2025-01-04T00:00:00"/>
    <x v="1"/>
    <x v="0"/>
    <x v="0"/>
    <x v="0"/>
    <x v="15"/>
    <x v="2"/>
    <x v="0"/>
    <x v="1"/>
  </r>
  <r>
    <x v="32"/>
    <x v="4"/>
    <x v="2"/>
    <n v="29.9"/>
    <n v="89.699999999999989"/>
    <x v="0"/>
    <d v="2025-01-02T00:00:00"/>
    <x v="1"/>
    <x v="3"/>
    <x v="0"/>
    <x v="0"/>
    <x v="3"/>
    <x v="3"/>
    <x v="0"/>
    <x v="1"/>
  </r>
  <r>
    <x v="33"/>
    <x v="10"/>
    <x v="13"/>
    <n v="21.7"/>
    <n v="130.19999999999999"/>
    <x v="0"/>
    <d v="2025-01-03T00:00:00"/>
    <x v="3"/>
    <x v="2"/>
    <x v="2"/>
    <x v="0"/>
    <x v="3"/>
    <x v="1"/>
    <x v="0"/>
    <x v="3"/>
  </r>
  <r>
    <x v="34"/>
    <x v="11"/>
    <x v="1"/>
    <n v="32"/>
    <n v="64"/>
    <x v="0"/>
    <d v="2025-01-04T00:00:00"/>
    <x v="1"/>
    <x v="0"/>
    <x v="2"/>
    <x v="0"/>
    <x v="3"/>
    <x v="2"/>
    <x v="0"/>
    <x v="1"/>
  </r>
  <r>
    <x v="35"/>
    <x v="8"/>
    <x v="1"/>
    <n v="15.8"/>
    <n v="31.6"/>
    <x v="0"/>
    <d v="2025-01-02T00:00:00"/>
    <x v="1"/>
    <x v="4"/>
    <x v="2"/>
    <x v="0"/>
    <x v="3"/>
    <x v="3"/>
    <x v="0"/>
    <x v="1"/>
  </r>
  <r>
    <x v="36"/>
    <x v="2"/>
    <x v="14"/>
    <n v="203.1"/>
    <n v="3452.7"/>
    <x v="0"/>
    <d v="2025-01-05T00:00:00"/>
    <x v="1"/>
    <x v="3"/>
    <x v="1"/>
    <x v="0"/>
    <x v="3"/>
    <x v="5"/>
    <x v="0"/>
    <x v="1"/>
  </r>
  <r>
    <x v="37"/>
    <x v="7"/>
    <x v="15"/>
    <n v="39"/>
    <n v="507"/>
    <x v="0"/>
    <d v="2025-01-07T00:00:00"/>
    <x v="1"/>
    <x v="0"/>
    <x v="2"/>
    <x v="0"/>
    <x v="3"/>
    <x v="4"/>
    <x v="0"/>
    <x v="1"/>
  </r>
  <r>
    <x v="38"/>
    <x v="10"/>
    <x v="0"/>
    <n v="26.5"/>
    <n v="26.5"/>
    <x v="1"/>
    <d v="2025-01-03T00:00:00"/>
    <x v="1"/>
    <x v="2"/>
    <x v="0"/>
    <x v="0"/>
    <x v="3"/>
    <x v="3"/>
    <x v="0"/>
    <x v="1"/>
  </r>
  <r>
    <x v="39"/>
    <x v="5"/>
    <x v="0"/>
    <n v="43.1"/>
    <n v="43.1"/>
    <x v="1"/>
    <d v="2025-01-03T00:00:00"/>
    <x v="2"/>
    <x v="2"/>
    <x v="1"/>
    <x v="0"/>
    <x v="3"/>
    <x v="3"/>
    <x v="0"/>
    <x v="2"/>
  </r>
  <r>
    <x v="40"/>
    <x v="1"/>
    <x v="2"/>
    <n v="139"/>
    <n v="417"/>
    <x v="1"/>
    <d v="2025-01-03T00:00:00"/>
    <x v="2"/>
    <x v="4"/>
    <x v="2"/>
    <x v="0"/>
    <x v="3"/>
    <x v="3"/>
    <x v="0"/>
    <x v="2"/>
  </r>
  <r>
    <x v="41"/>
    <x v="12"/>
    <x v="0"/>
    <n v="80.7"/>
    <n v="80.7"/>
    <x v="1"/>
    <d v="2025-01-03T00:00:00"/>
    <x v="1"/>
    <x v="0"/>
    <x v="2"/>
    <x v="0"/>
    <x v="16"/>
    <x v="3"/>
    <x v="0"/>
    <x v="1"/>
  </r>
  <r>
    <x v="42"/>
    <x v="4"/>
    <x v="1"/>
    <n v="54.5"/>
    <n v="109"/>
    <x v="1"/>
    <d v="2025-01-04T00:00:00"/>
    <x v="1"/>
    <x v="1"/>
    <x v="1"/>
    <x v="0"/>
    <x v="6"/>
    <x v="1"/>
    <x v="0"/>
    <x v="1"/>
  </r>
  <r>
    <x v="43"/>
    <x v="6"/>
    <x v="2"/>
    <n v="68.599999999999994"/>
    <n v="205.79999999999998"/>
    <x v="1"/>
    <d v="2025-01-02T00:00:00"/>
    <x v="2"/>
    <x v="0"/>
    <x v="1"/>
    <x v="0"/>
    <x v="8"/>
    <x v="7"/>
    <x v="0"/>
    <x v="2"/>
  </r>
  <r>
    <x v="44"/>
    <x v="2"/>
    <x v="12"/>
    <n v="135.9"/>
    <n v="543.6"/>
    <x v="1"/>
    <d v="2025-01-03T00:00:00"/>
    <x v="2"/>
    <x v="2"/>
    <x v="2"/>
    <x v="0"/>
    <x v="8"/>
    <x v="3"/>
    <x v="0"/>
    <x v="2"/>
  </r>
  <r>
    <x v="45"/>
    <x v="2"/>
    <x v="12"/>
    <n v="70.900000000000006"/>
    <n v="283.60000000000002"/>
    <x v="1"/>
    <d v="2025-01-03T00:00:00"/>
    <x v="2"/>
    <x v="0"/>
    <x v="0"/>
    <x v="0"/>
    <x v="17"/>
    <x v="3"/>
    <x v="0"/>
    <x v="2"/>
  </r>
  <r>
    <x v="46"/>
    <x v="1"/>
    <x v="9"/>
    <n v="63.7"/>
    <n v="318.5"/>
    <x v="1"/>
    <d v="2025-01-03T00:00:00"/>
    <x v="1"/>
    <x v="1"/>
    <x v="1"/>
    <x v="0"/>
    <x v="9"/>
    <x v="3"/>
    <x v="0"/>
    <x v="1"/>
  </r>
  <r>
    <x v="47"/>
    <x v="13"/>
    <x v="0"/>
    <n v="29.7"/>
    <n v="29.7"/>
    <x v="1"/>
    <d v="2025-01-04T00:00:00"/>
    <x v="2"/>
    <x v="1"/>
    <x v="0"/>
    <x v="0"/>
    <x v="11"/>
    <x v="1"/>
    <x v="0"/>
    <x v="2"/>
  </r>
  <r>
    <x v="48"/>
    <x v="4"/>
    <x v="2"/>
    <n v="26.8"/>
    <n v="80.400000000000006"/>
    <x v="1"/>
    <d v="2025-01-11T00:00:00"/>
    <x v="2"/>
    <x v="1"/>
    <x v="2"/>
    <x v="0"/>
    <x v="11"/>
    <x v="8"/>
    <x v="0"/>
    <x v="2"/>
  </r>
  <r>
    <x v="49"/>
    <x v="14"/>
    <x v="0"/>
    <n v="27"/>
    <n v="27"/>
    <x v="1"/>
    <d v="2025-01-04T00:00:00"/>
    <x v="2"/>
    <x v="0"/>
    <x v="0"/>
    <x v="0"/>
    <x v="18"/>
    <x v="1"/>
    <x v="0"/>
    <x v="2"/>
  </r>
  <r>
    <x v="50"/>
    <x v="8"/>
    <x v="0"/>
    <n v="41.4"/>
    <n v="41.4"/>
    <x v="1"/>
    <d v="2025-01-03T00:00:00"/>
    <x v="1"/>
    <x v="1"/>
    <x v="2"/>
    <x v="0"/>
    <x v="19"/>
    <x v="3"/>
    <x v="0"/>
    <x v="1"/>
  </r>
  <r>
    <x v="51"/>
    <x v="8"/>
    <x v="1"/>
    <n v="24.3"/>
    <n v="48.6"/>
    <x v="1"/>
    <d v="2025-01-05T00:00:00"/>
    <x v="2"/>
    <x v="1"/>
    <x v="0"/>
    <x v="0"/>
    <x v="19"/>
    <x v="2"/>
    <x v="0"/>
    <x v="2"/>
  </r>
  <r>
    <x v="52"/>
    <x v="8"/>
    <x v="2"/>
    <n v="41.7"/>
    <n v="125.10000000000001"/>
    <x v="1"/>
    <d v="2025-01-04T00:00:00"/>
    <x v="1"/>
    <x v="0"/>
    <x v="2"/>
    <x v="0"/>
    <x v="20"/>
    <x v="1"/>
    <x v="0"/>
    <x v="1"/>
  </r>
  <r>
    <x v="53"/>
    <x v="0"/>
    <x v="1"/>
    <n v="18"/>
    <n v="36"/>
    <x v="1"/>
    <d v="2025-01-03T00:00:00"/>
    <x v="2"/>
    <x v="0"/>
    <x v="2"/>
    <x v="0"/>
    <x v="21"/>
    <x v="3"/>
    <x v="0"/>
    <x v="2"/>
  </r>
  <r>
    <x v="54"/>
    <x v="7"/>
    <x v="2"/>
    <n v="91.3"/>
    <n v="273.89999999999998"/>
    <x v="1"/>
    <d v="2025-01-05T00:00:00"/>
    <x v="1"/>
    <x v="2"/>
    <x v="2"/>
    <x v="0"/>
    <x v="3"/>
    <x v="2"/>
    <x v="0"/>
    <x v="1"/>
  </r>
  <r>
    <x v="55"/>
    <x v="8"/>
    <x v="8"/>
    <n v="19.3"/>
    <n v="154.4"/>
    <x v="1"/>
    <d v="2025-01-03T00:00:00"/>
    <x v="1"/>
    <x v="0"/>
    <x v="0"/>
    <x v="0"/>
    <x v="3"/>
    <x v="3"/>
    <x v="0"/>
    <x v="1"/>
  </r>
  <r>
    <x v="56"/>
    <x v="12"/>
    <x v="15"/>
    <n v="63.2"/>
    <n v="821.6"/>
    <x v="1"/>
    <d v="2025-01-03T00:00:00"/>
    <x v="2"/>
    <x v="0"/>
    <x v="0"/>
    <x v="0"/>
    <x v="3"/>
    <x v="3"/>
    <x v="0"/>
    <x v="2"/>
  </r>
  <r>
    <x v="57"/>
    <x v="10"/>
    <x v="11"/>
    <n v="33.299999999999997"/>
    <n v="299.7"/>
    <x v="2"/>
    <d v="2025-01-11T00:00:00"/>
    <x v="2"/>
    <x v="0"/>
    <x v="2"/>
    <x v="0"/>
    <x v="3"/>
    <x v="9"/>
    <x v="0"/>
    <x v="2"/>
  </r>
  <r>
    <x v="58"/>
    <x v="7"/>
    <x v="1"/>
    <n v="64.2"/>
    <n v="128.4"/>
    <x v="2"/>
    <d v="2025-01-04T00:00:00"/>
    <x v="1"/>
    <x v="0"/>
    <x v="2"/>
    <x v="0"/>
    <x v="3"/>
    <x v="3"/>
    <x v="0"/>
    <x v="1"/>
  </r>
  <r>
    <x v="59"/>
    <x v="9"/>
    <x v="2"/>
    <n v="23.1"/>
    <n v="69.300000000000011"/>
    <x v="2"/>
    <d v="2025-01-06T00:00:00"/>
    <x v="2"/>
    <x v="1"/>
    <x v="2"/>
    <x v="0"/>
    <x v="3"/>
    <x v="2"/>
    <x v="0"/>
    <x v="2"/>
  </r>
  <r>
    <x v="60"/>
    <x v="15"/>
    <x v="1"/>
    <n v="71.099999999999994"/>
    <n v="142.19999999999999"/>
    <x v="2"/>
    <d v="2025-01-05T00:00:00"/>
    <x v="2"/>
    <x v="3"/>
    <x v="1"/>
    <x v="0"/>
    <x v="3"/>
    <x v="1"/>
    <x v="0"/>
    <x v="2"/>
  </r>
  <r>
    <x v="61"/>
    <x v="0"/>
    <x v="1"/>
    <n v="11.5"/>
    <n v="23"/>
    <x v="2"/>
    <d v="2025-01-04T00:00:00"/>
    <x v="2"/>
    <x v="0"/>
    <x v="0"/>
    <x v="0"/>
    <x v="3"/>
    <x v="3"/>
    <x v="0"/>
    <x v="2"/>
  </r>
  <r>
    <x v="62"/>
    <x v="15"/>
    <x v="10"/>
    <n v="69.2"/>
    <n v="1314.8"/>
    <x v="2"/>
    <d v="2025-01-08T00:00:00"/>
    <x v="2"/>
    <x v="0"/>
    <x v="0"/>
    <x v="0"/>
    <x v="3"/>
    <x v="0"/>
    <x v="0"/>
    <x v="2"/>
  </r>
  <r>
    <x v="63"/>
    <x v="0"/>
    <x v="0"/>
    <n v="26.8"/>
    <n v="26.8"/>
    <x v="2"/>
    <d v="2025-01-04T00:00:00"/>
    <x v="1"/>
    <x v="2"/>
    <x v="4"/>
    <x v="0"/>
    <x v="3"/>
    <x v="3"/>
    <x v="0"/>
    <x v="1"/>
  </r>
  <r>
    <x v="64"/>
    <x v="16"/>
    <x v="2"/>
    <n v="31.2"/>
    <n v="93.6"/>
    <x v="2"/>
    <d v="2025-01-06T00:00:00"/>
    <x v="2"/>
    <x v="0"/>
    <x v="0"/>
    <x v="0"/>
    <x v="3"/>
    <x v="2"/>
    <x v="0"/>
    <x v="2"/>
  </r>
  <r>
    <x v="65"/>
    <x v="12"/>
    <x v="1"/>
    <n v="113.2"/>
    <n v="226.4"/>
    <x v="2"/>
    <d v="2025-01-04T00:00:00"/>
    <x v="2"/>
    <x v="4"/>
    <x v="0"/>
    <x v="0"/>
    <x v="3"/>
    <x v="3"/>
    <x v="0"/>
    <x v="2"/>
  </r>
  <r>
    <x v="66"/>
    <x v="10"/>
    <x v="8"/>
    <n v="21"/>
    <n v="168"/>
    <x v="2"/>
    <d v="2025-01-04T00:00:00"/>
    <x v="1"/>
    <x v="0"/>
    <x v="0"/>
    <x v="0"/>
    <x v="6"/>
    <x v="3"/>
    <x v="0"/>
    <x v="1"/>
  </r>
  <r>
    <x v="67"/>
    <x v="1"/>
    <x v="1"/>
    <n v="89.1"/>
    <n v="178.2"/>
    <x v="2"/>
    <d v="2025-01-04T00:00:00"/>
    <x v="2"/>
    <x v="2"/>
    <x v="2"/>
    <x v="0"/>
    <x v="6"/>
    <x v="3"/>
    <x v="0"/>
    <x v="2"/>
  </r>
  <r>
    <x v="68"/>
    <x v="1"/>
    <x v="0"/>
    <n v="97.7"/>
    <n v="97.7"/>
    <x v="2"/>
    <d v="2025-01-05T00:00:00"/>
    <x v="2"/>
    <x v="0"/>
    <x v="1"/>
    <x v="0"/>
    <x v="6"/>
    <x v="1"/>
    <x v="0"/>
    <x v="2"/>
  </r>
  <r>
    <x v="69"/>
    <x v="15"/>
    <x v="12"/>
    <n v="97.7"/>
    <n v="390.8"/>
    <x v="2"/>
    <d v="2025-01-05T00:00:00"/>
    <x v="1"/>
    <x v="3"/>
    <x v="0"/>
    <x v="0"/>
    <x v="6"/>
    <x v="1"/>
    <x v="0"/>
    <x v="1"/>
  </r>
  <r>
    <x v="70"/>
    <x v="17"/>
    <x v="2"/>
    <n v="47.4"/>
    <n v="142.19999999999999"/>
    <x v="2"/>
    <d v="2025-01-06T00:00:00"/>
    <x v="1"/>
    <x v="3"/>
    <x v="2"/>
    <x v="0"/>
    <x v="8"/>
    <x v="2"/>
    <x v="0"/>
    <x v="1"/>
  </r>
  <r>
    <x v="71"/>
    <x v="7"/>
    <x v="0"/>
    <n v="89.6"/>
    <n v="89.6"/>
    <x v="2"/>
    <d v="2025-01-06T00:00:00"/>
    <x v="2"/>
    <x v="0"/>
    <x v="2"/>
    <x v="0"/>
    <x v="8"/>
    <x v="2"/>
    <x v="0"/>
    <x v="2"/>
  </r>
  <r>
    <x v="72"/>
    <x v="10"/>
    <x v="16"/>
    <n v="28.4"/>
    <n v="511.2"/>
    <x v="2"/>
    <d v="2025-01-06T00:00:00"/>
    <x v="2"/>
    <x v="3"/>
    <x v="2"/>
    <x v="0"/>
    <x v="17"/>
    <x v="2"/>
    <x v="0"/>
    <x v="2"/>
  </r>
  <r>
    <x v="73"/>
    <x v="0"/>
    <x v="1"/>
    <n v="17.899999999999999"/>
    <n v="35.799999999999997"/>
    <x v="2"/>
    <d v="2025-01-04T00:00:00"/>
    <x v="2"/>
    <x v="0"/>
    <x v="2"/>
    <x v="0"/>
    <x v="9"/>
    <x v="3"/>
    <x v="0"/>
    <x v="2"/>
  </r>
  <r>
    <x v="74"/>
    <x v="9"/>
    <x v="1"/>
    <n v="48.4"/>
    <n v="96.8"/>
    <x v="2"/>
    <d v="2025-01-06T00:00:00"/>
    <x v="1"/>
    <x v="1"/>
    <x v="0"/>
    <x v="0"/>
    <x v="9"/>
    <x v="2"/>
    <x v="0"/>
    <x v="1"/>
  </r>
  <r>
    <x v="75"/>
    <x v="12"/>
    <x v="12"/>
    <n v="44.4"/>
    <n v="177.6"/>
    <x v="2"/>
    <d v="2025-01-04T00:00:00"/>
    <x v="3"/>
    <x v="1"/>
    <x v="1"/>
    <x v="0"/>
    <x v="11"/>
    <x v="3"/>
    <x v="0"/>
    <x v="3"/>
  </r>
  <r>
    <x v="76"/>
    <x v="2"/>
    <x v="8"/>
    <n v="103.7"/>
    <n v="829.6"/>
    <x v="2"/>
    <d v="2025-01-04T00:00:00"/>
    <x v="2"/>
    <x v="0"/>
    <x v="1"/>
    <x v="0"/>
    <x v="19"/>
    <x v="3"/>
    <x v="0"/>
    <x v="2"/>
  </r>
  <r>
    <x v="77"/>
    <x v="5"/>
    <x v="12"/>
    <n v="58.6"/>
    <n v="234.4"/>
    <x v="2"/>
    <d v="2025-01-05T00:00:00"/>
    <x v="1"/>
    <x v="3"/>
    <x v="0"/>
    <x v="0"/>
    <x v="19"/>
    <x v="1"/>
    <x v="0"/>
    <x v="1"/>
  </r>
  <r>
    <x v="78"/>
    <x v="9"/>
    <x v="12"/>
    <n v="54.8"/>
    <n v="219.2"/>
    <x v="2"/>
    <d v="2025-01-07T00:00:00"/>
    <x v="2"/>
    <x v="2"/>
    <x v="1"/>
    <x v="0"/>
    <x v="13"/>
    <x v="5"/>
    <x v="0"/>
    <x v="2"/>
  </r>
  <r>
    <x v="79"/>
    <x v="12"/>
    <x v="2"/>
    <n v="78.8"/>
    <n v="236.39999999999998"/>
    <x v="2"/>
    <d v="2025-01-09T00:00:00"/>
    <x v="2"/>
    <x v="4"/>
    <x v="1"/>
    <x v="0"/>
    <x v="21"/>
    <x v="4"/>
    <x v="0"/>
    <x v="2"/>
  </r>
  <r>
    <x v="80"/>
    <x v="18"/>
    <x v="9"/>
    <n v="36.799999999999997"/>
    <n v="184"/>
    <x v="2"/>
    <d v="2025-01-06T00:00:00"/>
    <x v="1"/>
    <x v="4"/>
    <x v="1"/>
    <x v="0"/>
    <x v="22"/>
    <x v="2"/>
    <x v="0"/>
    <x v="1"/>
  </r>
  <r>
    <x v="81"/>
    <x v="6"/>
    <x v="13"/>
    <n v="50.6"/>
    <n v="303.60000000000002"/>
    <x v="2"/>
    <d v="2025-01-05T00:00:00"/>
    <x v="2"/>
    <x v="3"/>
    <x v="0"/>
    <x v="0"/>
    <x v="3"/>
    <x v="1"/>
    <x v="0"/>
    <x v="2"/>
  </r>
  <r>
    <x v="82"/>
    <x v="15"/>
    <x v="2"/>
    <n v="36.799999999999997"/>
    <n v="110.39999999999999"/>
    <x v="2"/>
    <d v="2025-01-03T00:00:00"/>
    <x v="1"/>
    <x v="2"/>
    <x v="1"/>
    <x v="0"/>
    <x v="3"/>
    <x v="7"/>
    <x v="0"/>
    <x v="1"/>
  </r>
  <r>
    <x v="83"/>
    <x v="8"/>
    <x v="11"/>
    <n v="41.8"/>
    <n v="376.2"/>
    <x v="3"/>
    <d v="2025-01-10T00:00:00"/>
    <x v="2"/>
    <x v="3"/>
    <x v="0"/>
    <x v="0"/>
    <x v="3"/>
    <x v="4"/>
    <x v="0"/>
    <x v="2"/>
  </r>
  <r>
    <x v="84"/>
    <x v="18"/>
    <x v="0"/>
    <n v="77.3"/>
    <n v="77.3"/>
    <x v="3"/>
    <d v="2025-01-05T00:00:00"/>
    <x v="1"/>
    <x v="4"/>
    <x v="4"/>
    <x v="0"/>
    <x v="3"/>
    <x v="3"/>
    <x v="0"/>
    <x v="1"/>
  </r>
  <r>
    <x v="85"/>
    <x v="8"/>
    <x v="12"/>
    <n v="19.8"/>
    <n v="79.2"/>
    <x v="3"/>
    <d v="2025-01-10T00:00:00"/>
    <x v="1"/>
    <x v="1"/>
    <x v="2"/>
    <x v="0"/>
    <x v="3"/>
    <x v="4"/>
    <x v="0"/>
    <x v="1"/>
  </r>
  <r>
    <x v="86"/>
    <x v="13"/>
    <x v="12"/>
    <n v="15.5"/>
    <n v="62"/>
    <x v="3"/>
    <d v="2025-01-05T00:00:00"/>
    <x v="2"/>
    <x v="1"/>
    <x v="2"/>
    <x v="0"/>
    <x v="3"/>
    <x v="3"/>
    <x v="0"/>
    <x v="2"/>
  </r>
  <r>
    <x v="87"/>
    <x v="12"/>
    <x v="0"/>
    <n v="46.8"/>
    <n v="46.8"/>
    <x v="3"/>
    <d v="2025-01-08T00:00:00"/>
    <x v="1"/>
    <x v="0"/>
    <x v="2"/>
    <x v="0"/>
    <x v="3"/>
    <x v="5"/>
    <x v="0"/>
    <x v="1"/>
  </r>
  <r>
    <x v="88"/>
    <x v="9"/>
    <x v="11"/>
    <n v="28.6"/>
    <n v="257.40000000000003"/>
    <x v="3"/>
    <d v="2025-01-08T00:00:00"/>
    <x v="1"/>
    <x v="0"/>
    <x v="2"/>
    <x v="0"/>
    <x v="3"/>
    <x v="5"/>
    <x v="0"/>
    <x v="1"/>
  </r>
  <r>
    <x v="89"/>
    <x v="2"/>
    <x v="0"/>
    <n v="97.7"/>
    <n v="97.7"/>
    <x v="3"/>
    <d v="2025-01-07T00:00:00"/>
    <x v="2"/>
    <x v="1"/>
    <x v="0"/>
    <x v="0"/>
    <x v="3"/>
    <x v="2"/>
    <x v="0"/>
    <x v="2"/>
  </r>
  <r>
    <x v="90"/>
    <x v="9"/>
    <x v="9"/>
    <n v="54.7"/>
    <n v="273.5"/>
    <x v="3"/>
    <d v="2025-01-07T00:00:00"/>
    <x v="0"/>
    <x v="0"/>
    <x v="2"/>
    <x v="0"/>
    <x v="23"/>
    <x v="2"/>
    <x v="0"/>
    <x v="0"/>
  </r>
  <r>
    <x v="91"/>
    <x v="2"/>
    <x v="13"/>
    <n v="130.5"/>
    <n v="783"/>
    <x v="3"/>
    <d v="2025-01-06T00:00:00"/>
    <x v="2"/>
    <x v="0"/>
    <x v="1"/>
    <x v="0"/>
    <x v="23"/>
    <x v="1"/>
    <x v="0"/>
    <x v="2"/>
  </r>
  <r>
    <x v="92"/>
    <x v="11"/>
    <x v="1"/>
    <n v="50.4"/>
    <n v="100.8"/>
    <x v="3"/>
    <d v="2025-01-06T00:00:00"/>
    <x v="1"/>
    <x v="2"/>
    <x v="2"/>
    <x v="0"/>
    <x v="6"/>
    <x v="1"/>
    <x v="0"/>
    <x v="1"/>
  </r>
  <r>
    <x v="93"/>
    <x v="6"/>
    <x v="15"/>
    <n v="61.5"/>
    <n v="799.5"/>
    <x v="3"/>
    <d v="2025-01-05T00:00:00"/>
    <x v="0"/>
    <x v="3"/>
    <x v="1"/>
    <x v="0"/>
    <x v="11"/>
    <x v="3"/>
    <x v="0"/>
    <x v="0"/>
  </r>
  <r>
    <x v="94"/>
    <x v="9"/>
    <x v="12"/>
    <n v="30.1"/>
    <n v="120.4"/>
    <x v="3"/>
    <d v="2025-01-05T00:00:00"/>
    <x v="2"/>
    <x v="0"/>
    <x v="2"/>
    <x v="0"/>
    <x v="21"/>
    <x v="3"/>
    <x v="0"/>
    <x v="2"/>
  </r>
  <r>
    <x v="95"/>
    <x v="2"/>
    <x v="9"/>
    <n v="74.8"/>
    <n v="374"/>
    <x v="3"/>
    <d v="2025-01-05T00:00:00"/>
    <x v="2"/>
    <x v="1"/>
    <x v="0"/>
    <x v="0"/>
    <x v="1"/>
    <x v="3"/>
    <x v="0"/>
    <x v="2"/>
  </r>
  <r>
    <x v="96"/>
    <x v="16"/>
    <x v="2"/>
    <n v="64.900000000000006"/>
    <n v="194.70000000000002"/>
    <x v="3"/>
    <d v="2025-01-11T00:00:00"/>
    <x v="1"/>
    <x v="0"/>
    <x v="0"/>
    <x v="0"/>
    <x v="2"/>
    <x v="6"/>
    <x v="0"/>
    <x v="1"/>
  </r>
  <r>
    <x v="97"/>
    <x v="9"/>
    <x v="1"/>
    <n v="50.5"/>
    <n v="101"/>
    <x v="3"/>
    <d v="2025-01-06T00:00:00"/>
    <x v="1"/>
    <x v="1"/>
    <x v="0"/>
    <x v="0"/>
    <x v="22"/>
    <x v="1"/>
    <x v="0"/>
    <x v="1"/>
  </r>
  <r>
    <x v="98"/>
    <x v="11"/>
    <x v="3"/>
    <n v="63"/>
    <n v="441"/>
    <x v="3"/>
    <d v="2025-01-07T00:00:00"/>
    <x v="1"/>
    <x v="3"/>
    <x v="2"/>
    <x v="0"/>
    <x v="3"/>
    <x v="2"/>
    <x v="0"/>
    <x v="1"/>
  </r>
  <r>
    <x v="99"/>
    <x v="2"/>
    <x v="2"/>
    <n v="93.6"/>
    <n v="280.79999999999995"/>
    <x v="3"/>
    <d v="2025-01-17T00:00:00"/>
    <x v="2"/>
    <x v="0"/>
    <x v="2"/>
    <x v="0"/>
    <x v="3"/>
    <x v="10"/>
    <x v="0"/>
    <x v="2"/>
  </r>
  <r>
    <x v="100"/>
    <x v="5"/>
    <x v="17"/>
    <n v="41.4"/>
    <n v="1242"/>
    <x v="3"/>
    <d v="2025-01-08T00:00:00"/>
    <x v="1"/>
    <x v="2"/>
    <x v="2"/>
    <x v="0"/>
    <x v="3"/>
    <x v="5"/>
    <x v="0"/>
    <x v="1"/>
  </r>
  <r>
    <x v="101"/>
    <x v="2"/>
    <x v="1"/>
    <n v="160"/>
    <n v="320"/>
    <x v="4"/>
    <d v="2025-01-06T00:00:00"/>
    <x v="1"/>
    <x v="2"/>
    <x v="2"/>
    <x v="0"/>
    <x v="5"/>
    <x v="3"/>
    <x v="1"/>
    <x v="1"/>
  </r>
  <r>
    <x v="102"/>
    <x v="19"/>
    <x v="5"/>
    <n v="10.5"/>
    <n v="115.5"/>
    <x v="4"/>
    <d v="2025-01-08T00:00:00"/>
    <x v="2"/>
    <x v="4"/>
    <x v="0"/>
    <x v="0"/>
    <x v="8"/>
    <x v="2"/>
    <x v="1"/>
    <x v="2"/>
  </r>
  <r>
    <x v="103"/>
    <x v="10"/>
    <x v="1"/>
    <n v="53"/>
    <n v="106"/>
    <x v="4"/>
    <d v="2025-01-05T00:00:00"/>
    <x v="1"/>
    <x v="2"/>
    <x v="4"/>
    <x v="0"/>
    <x v="17"/>
    <x v="7"/>
    <x v="1"/>
    <x v="1"/>
  </r>
  <r>
    <x v="104"/>
    <x v="8"/>
    <x v="2"/>
    <n v="18.5"/>
    <n v="55.5"/>
    <x v="4"/>
    <d v="2025-01-10T00:00:00"/>
    <x v="2"/>
    <x v="1"/>
    <x v="2"/>
    <x v="0"/>
    <x v="11"/>
    <x v="0"/>
    <x v="1"/>
    <x v="2"/>
  </r>
  <r>
    <x v="105"/>
    <x v="16"/>
    <x v="2"/>
    <n v="84.5"/>
    <n v="253.5"/>
    <x v="4"/>
    <d v="2025-01-07T00:00:00"/>
    <x v="2"/>
    <x v="4"/>
    <x v="1"/>
    <x v="0"/>
    <x v="13"/>
    <x v="1"/>
    <x v="1"/>
    <x v="2"/>
  </r>
  <r>
    <x v="106"/>
    <x v="15"/>
    <x v="3"/>
    <n v="31.2"/>
    <n v="218.4"/>
    <x v="4"/>
    <d v="2025-01-05T00:00:00"/>
    <x v="2"/>
    <x v="2"/>
    <x v="2"/>
    <x v="0"/>
    <x v="3"/>
    <x v="7"/>
    <x v="1"/>
    <x v="2"/>
  </r>
  <r>
    <x v="107"/>
    <x v="8"/>
    <x v="16"/>
    <n v="32.6"/>
    <n v="586.80000000000007"/>
    <x v="4"/>
    <d v="2025-01-06T00:00:00"/>
    <x v="1"/>
    <x v="1"/>
    <x v="1"/>
    <x v="0"/>
    <x v="3"/>
    <x v="3"/>
    <x v="1"/>
    <x v="1"/>
  </r>
  <r>
    <x v="108"/>
    <x v="10"/>
    <x v="12"/>
    <n v="45.4"/>
    <n v="181.6"/>
    <x v="4"/>
    <d v="2025-01-07T00:00:00"/>
    <x v="1"/>
    <x v="1"/>
    <x v="0"/>
    <x v="0"/>
    <x v="3"/>
    <x v="1"/>
    <x v="1"/>
    <x v="1"/>
  </r>
  <r>
    <x v="109"/>
    <x v="2"/>
    <x v="4"/>
    <n v="120"/>
    <n v="1440"/>
    <x v="4"/>
    <d v="2025-01-06T00:00:00"/>
    <x v="2"/>
    <x v="2"/>
    <x v="4"/>
    <x v="0"/>
    <x v="3"/>
    <x v="3"/>
    <x v="1"/>
    <x v="2"/>
  </r>
  <r>
    <x v="110"/>
    <x v="0"/>
    <x v="12"/>
    <n v="18.899999999999999"/>
    <n v="75.599999999999994"/>
    <x v="4"/>
    <d v="2025-01-07T00:00:00"/>
    <x v="1"/>
    <x v="0"/>
    <x v="2"/>
    <x v="0"/>
    <x v="3"/>
    <x v="1"/>
    <x v="1"/>
    <x v="1"/>
  </r>
  <r>
    <x v="111"/>
    <x v="4"/>
    <x v="0"/>
    <n v="32"/>
    <n v="32"/>
    <x v="4"/>
    <d v="2025-01-07T00:00:00"/>
    <x v="2"/>
    <x v="4"/>
    <x v="0"/>
    <x v="0"/>
    <x v="3"/>
    <x v="1"/>
    <x v="1"/>
    <x v="2"/>
  </r>
  <r>
    <x v="112"/>
    <x v="7"/>
    <x v="1"/>
    <n v="37.299999999999997"/>
    <n v="74.599999999999994"/>
    <x v="4"/>
    <d v="2025-01-06T00:00:00"/>
    <x v="1"/>
    <x v="2"/>
    <x v="0"/>
    <x v="0"/>
    <x v="3"/>
    <x v="3"/>
    <x v="1"/>
    <x v="1"/>
  </r>
  <r>
    <x v="113"/>
    <x v="18"/>
    <x v="0"/>
    <n v="119.8"/>
    <n v="119.8"/>
    <x v="4"/>
    <d v="2025-01-06T00:00:00"/>
    <x v="1"/>
    <x v="1"/>
    <x v="1"/>
    <x v="0"/>
    <x v="3"/>
    <x v="3"/>
    <x v="1"/>
    <x v="1"/>
  </r>
  <r>
    <x v="114"/>
    <x v="10"/>
    <x v="1"/>
    <n v="26.4"/>
    <n v="52.8"/>
    <x v="4"/>
    <d v="2025-01-08T00:00:00"/>
    <x v="1"/>
    <x v="2"/>
    <x v="0"/>
    <x v="0"/>
    <x v="3"/>
    <x v="2"/>
    <x v="1"/>
    <x v="1"/>
  </r>
  <r>
    <x v="115"/>
    <x v="6"/>
    <x v="13"/>
    <n v="76.5"/>
    <n v="459"/>
    <x v="4"/>
    <d v="2025-01-06T00:00:00"/>
    <x v="2"/>
    <x v="1"/>
    <x v="1"/>
    <x v="0"/>
    <x v="3"/>
    <x v="3"/>
    <x v="1"/>
    <x v="2"/>
  </r>
  <r>
    <x v="116"/>
    <x v="4"/>
    <x v="7"/>
    <n v="45.7"/>
    <n v="457"/>
    <x v="4"/>
    <d v="2025-01-06T00:00:00"/>
    <x v="2"/>
    <x v="2"/>
    <x v="0"/>
    <x v="0"/>
    <x v="24"/>
    <x v="3"/>
    <x v="1"/>
    <x v="2"/>
  </r>
  <r>
    <x v="117"/>
    <x v="1"/>
    <x v="4"/>
    <n v="92.6"/>
    <n v="1111.1999999999998"/>
    <x v="4"/>
    <d v="2025-01-07T00:00:00"/>
    <x v="2"/>
    <x v="2"/>
    <x v="0"/>
    <x v="0"/>
    <x v="25"/>
    <x v="1"/>
    <x v="1"/>
    <x v="2"/>
  </r>
  <r>
    <x v="118"/>
    <x v="6"/>
    <x v="13"/>
    <n v="60.1"/>
    <n v="360.6"/>
    <x v="4"/>
    <d v="2025-01-06T00:00:00"/>
    <x v="1"/>
    <x v="1"/>
    <x v="0"/>
    <x v="0"/>
    <x v="23"/>
    <x v="3"/>
    <x v="1"/>
    <x v="1"/>
  </r>
  <r>
    <x v="119"/>
    <x v="1"/>
    <x v="2"/>
    <n v="73"/>
    <n v="219"/>
    <x v="4"/>
    <d v="2025-01-06T00:00:00"/>
    <x v="2"/>
    <x v="3"/>
    <x v="1"/>
    <x v="0"/>
    <x v="6"/>
    <x v="3"/>
    <x v="1"/>
    <x v="2"/>
  </r>
  <r>
    <x v="120"/>
    <x v="6"/>
    <x v="2"/>
    <n v="44.3"/>
    <n v="132.89999999999998"/>
    <x v="4"/>
    <d v="2025-01-09T00:00:00"/>
    <x v="0"/>
    <x v="2"/>
    <x v="2"/>
    <x v="0"/>
    <x v="6"/>
    <x v="5"/>
    <x v="1"/>
    <x v="0"/>
  </r>
  <r>
    <x v="121"/>
    <x v="6"/>
    <x v="2"/>
    <n v="63.3"/>
    <n v="189.89999999999998"/>
    <x v="4"/>
    <d v="2025-01-06T00:00:00"/>
    <x v="1"/>
    <x v="2"/>
    <x v="0"/>
    <x v="0"/>
    <x v="6"/>
    <x v="3"/>
    <x v="1"/>
    <x v="1"/>
  </r>
  <r>
    <x v="122"/>
    <x v="12"/>
    <x v="0"/>
    <n v="66.8"/>
    <n v="66.8"/>
    <x v="4"/>
    <d v="2025-01-06T00:00:00"/>
    <x v="2"/>
    <x v="1"/>
    <x v="0"/>
    <x v="0"/>
    <x v="6"/>
    <x v="3"/>
    <x v="1"/>
    <x v="2"/>
  </r>
  <r>
    <x v="123"/>
    <x v="2"/>
    <x v="1"/>
    <n v="59.7"/>
    <n v="119.4"/>
    <x v="4"/>
    <d v="2025-01-06T00:00:00"/>
    <x v="2"/>
    <x v="0"/>
    <x v="0"/>
    <x v="0"/>
    <x v="7"/>
    <x v="3"/>
    <x v="1"/>
    <x v="2"/>
  </r>
  <r>
    <x v="124"/>
    <x v="1"/>
    <x v="13"/>
    <n v="92"/>
    <n v="552"/>
    <x v="4"/>
    <d v="2025-01-07T00:00:00"/>
    <x v="1"/>
    <x v="0"/>
    <x v="4"/>
    <x v="0"/>
    <x v="7"/>
    <x v="1"/>
    <x v="1"/>
    <x v="1"/>
  </r>
  <r>
    <x v="125"/>
    <x v="7"/>
    <x v="1"/>
    <n v="87.6"/>
    <n v="175.2"/>
    <x v="4"/>
    <d v="2025-01-07T00:00:00"/>
    <x v="1"/>
    <x v="1"/>
    <x v="1"/>
    <x v="0"/>
    <x v="8"/>
    <x v="1"/>
    <x v="1"/>
    <x v="1"/>
  </r>
  <r>
    <x v="126"/>
    <x v="6"/>
    <x v="2"/>
    <n v="84.5"/>
    <n v="253.5"/>
    <x v="4"/>
    <d v="2025-01-06T00:00:00"/>
    <x v="2"/>
    <x v="1"/>
    <x v="1"/>
    <x v="0"/>
    <x v="8"/>
    <x v="3"/>
    <x v="1"/>
    <x v="2"/>
  </r>
  <r>
    <x v="127"/>
    <x v="1"/>
    <x v="1"/>
    <n v="116.3"/>
    <n v="232.6"/>
    <x v="5"/>
    <d v="2025-01-08T00:00:00"/>
    <x v="1"/>
    <x v="2"/>
    <x v="2"/>
    <x v="0"/>
    <x v="8"/>
    <x v="1"/>
    <x v="1"/>
    <x v="1"/>
  </r>
  <r>
    <x v="128"/>
    <x v="6"/>
    <x v="9"/>
    <n v="52.7"/>
    <n v="263.5"/>
    <x v="5"/>
    <d v="2025-01-10T00:00:00"/>
    <x v="1"/>
    <x v="0"/>
    <x v="0"/>
    <x v="0"/>
    <x v="8"/>
    <x v="5"/>
    <x v="1"/>
    <x v="1"/>
  </r>
  <r>
    <x v="129"/>
    <x v="16"/>
    <x v="2"/>
    <n v="34.200000000000003"/>
    <n v="102.60000000000001"/>
    <x v="5"/>
    <d v="2025-01-07T00:00:00"/>
    <x v="1"/>
    <x v="0"/>
    <x v="2"/>
    <x v="0"/>
    <x v="26"/>
    <x v="3"/>
    <x v="1"/>
    <x v="1"/>
  </r>
  <r>
    <x v="130"/>
    <x v="9"/>
    <x v="0"/>
    <n v="23.3"/>
    <n v="23.3"/>
    <x v="5"/>
    <d v="2025-01-15T00:00:00"/>
    <x v="3"/>
    <x v="2"/>
    <x v="2"/>
    <x v="0"/>
    <x v="9"/>
    <x v="8"/>
    <x v="1"/>
    <x v="3"/>
  </r>
  <r>
    <x v="131"/>
    <x v="0"/>
    <x v="18"/>
    <n v="25.9"/>
    <n v="673.4"/>
    <x v="5"/>
    <d v="2025-01-09T00:00:00"/>
    <x v="2"/>
    <x v="4"/>
    <x v="1"/>
    <x v="0"/>
    <x v="9"/>
    <x v="2"/>
    <x v="1"/>
    <x v="2"/>
  </r>
  <r>
    <x v="132"/>
    <x v="6"/>
    <x v="19"/>
    <n v="54.9"/>
    <n v="1592.1"/>
    <x v="5"/>
    <d v="2025-01-07T00:00:00"/>
    <x v="1"/>
    <x v="1"/>
    <x v="2"/>
    <x v="0"/>
    <x v="9"/>
    <x v="3"/>
    <x v="1"/>
    <x v="1"/>
  </r>
  <r>
    <x v="133"/>
    <x v="5"/>
    <x v="2"/>
    <n v="75.8"/>
    <n v="227.39999999999998"/>
    <x v="5"/>
    <d v="2025-01-11T00:00:00"/>
    <x v="3"/>
    <x v="1"/>
    <x v="0"/>
    <x v="0"/>
    <x v="18"/>
    <x v="0"/>
    <x v="1"/>
    <x v="3"/>
  </r>
  <r>
    <x v="134"/>
    <x v="1"/>
    <x v="11"/>
    <n v="44.9"/>
    <n v="404.09999999999997"/>
    <x v="5"/>
    <d v="2025-01-09T00:00:00"/>
    <x v="2"/>
    <x v="2"/>
    <x v="2"/>
    <x v="0"/>
    <x v="2"/>
    <x v="2"/>
    <x v="1"/>
    <x v="2"/>
  </r>
  <r>
    <x v="135"/>
    <x v="11"/>
    <x v="1"/>
    <n v="48.8"/>
    <n v="97.6"/>
    <x v="5"/>
    <d v="2025-01-08T00:00:00"/>
    <x v="2"/>
    <x v="3"/>
    <x v="0"/>
    <x v="0"/>
    <x v="27"/>
    <x v="1"/>
    <x v="1"/>
    <x v="2"/>
  </r>
  <r>
    <x v="136"/>
    <x v="15"/>
    <x v="0"/>
    <n v="20.3"/>
    <n v="20.3"/>
    <x v="5"/>
    <d v="2025-01-07T00:00:00"/>
    <x v="2"/>
    <x v="0"/>
    <x v="2"/>
    <x v="0"/>
    <x v="22"/>
    <x v="3"/>
    <x v="1"/>
    <x v="2"/>
  </r>
  <r>
    <x v="137"/>
    <x v="5"/>
    <x v="3"/>
    <n v="36.4"/>
    <n v="254.79999999999998"/>
    <x v="5"/>
    <d v="2025-01-09T00:00:00"/>
    <x v="2"/>
    <x v="0"/>
    <x v="1"/>
    <x v="0"/>
    <x v="3"/>
    <x v="2"/>
    <x v="1"/>
    <x v="2"/>
  </r>
  <r>
    <x v="138"/>
    <x v="0"/>
    <x v="0"/>
    <n v="19"/>
    <n v="19"/>
    <x v="5"/>
    <d v="2025-01-11T00:00:00"/>
    <x v="2"/>
    <x v="1"/>
    <x v="2"/>
    <x v="0"/>
    <x v="3"/>
    <x v="0"/>
    <x v="1"/>
    <x v="2"/>
  </r>
  <r>
    <x v="139"/>
    <x v="8"/>
    <x v="0"/>
    <n v="17.8"/>
    <n v="17.8"/>
    <x v="5"/>
    <d v="2025-01-06T00:00:00"/>
    <x v="1"/>
    <x v="0"/>
    <x v="0"/>
    <x v="0"/>
    <x v="3"/>
    <x v="7"/>
    <x v="1"/>
    <x v="1"/>
  </r>
  <r>
    <x v="140"/>
    <x v="2"/>
    <x v="13"/>
    <n v="139.6"/>
    <n v="837.59999999999991"/>
    <x v="5"/>
    <d v="2025-01-09T00:00:00"/>
    <x v="1"/>
    <x v="0"/>
    <x v="0"/>
    <x v="0"/>
    <x v="3"/>
    <x v="2"/>
    <x v="1"/>
    <x v="1"/>
  </r>
  <r>
    <x v="141"/>
    <x v="9"/>
    <x v="0"/>
    <n v="31.7"/>
    <n v="31.7"/>
    <x v="5"/>
    <d v="2025-01-06T00:00:00"/>
    <x v="0"/>
    <x v="0"/>
    <x v="0"/>
    <x v="0"/>
    <x v="3"/>
    <x v="7"/>
    <x v="1"/>
    <x v="0"/>
  </r>
  <r>
    <x v="142"/>
    <x v="8"/>
    <x v="8"/>
    <n v="26.3"/>
    <n v="210.4"/>
    <x v="5"/>
    <d v="2025-01-09T00:00:00"/>
    <x v="2"/>
    <x v="4"/>
    <x v="4"/>
    <x v="0"/>
    <x v="3"/>
    <x v="2"/>
    <x v="1"/>
    <x v="2"/>
  </r>
  <r>
    <x v="143"/>
    <x v="4"/>
    <x v="1"/>
    <n v="47.8"/>
    <n v="95.6"/>
    <x v="5"/>
    <d v="2025-01-07T00:00:00"/>
    <x v="0"/>
    <x v="0"/>
    <x v="0"/>
    <x v="0"/>
    <x v="3"/>
    <x v="3"/>
    <x v="1"/>
    <x v="0"/>
  </r>
  <r>
    <x v="144"/>
    <x v="9"/>
    <x v="2"/>
    <n v="69.400000000000006"/>
    <n v="208.20000000000002"/>
    <x v="5"/>
    <d v="2025-01-10T00:00:00"/>
    <x v="2"/>
    <x v="0"/>
    <x v="0"/>
    <x v="0"/>
    <x v="3"/>
    <x v="5"/>
    <x v="1"/>
    <x v="2"/>
  </r>
  <r>
    <x v="145"/>
    <x v="18"/>
    <x v="4"/>
    <n v="25.8"/>
    <n v="309.60000000000002"/>
    <x v="5"/>
    <d v="2025-01-07T00:00:00"/>
    <x v="1"/>
    <x v="4"/>
    <x v="4"/>
    <x v="0"/>
    <x v="3"/>
    <x v="3"/>
    <x v="1"/>
    <x v="1"/>
  </r>
  <r>
    <x v="146"/>
    <x v="0"/>
    <x v="12"/>
    <n v="26.4"/>
    <n v="105.6"/>
    <x v="5"/>
    <d v="2025-01-07T00:00:00"/>
    <x v="1"/>
    <x v="1"/>
    <x v="2"/>
    <x v="0"/>
    <x v="3"/>
    <x v="3"/>
    <x v="1"/>
    <x v="1"/>
  </r>
  <r>
    <x v="147"/>
    <x v="8"/>
    <x v="12"/>
    <n v="15.7"/>
    <n v="62.8"/>
    <x v="5"/>
    <d v="2025-01-07T00:00:00"/>
    <x v="1"/>
    <x v="2"/>
    <x v="0"/>
    <x v="0"/>
    <x v="3"/>
    <x v="3"/>
    <x v="1"/>
    <x v="1"/>
  </r>
  <r>
    <x v="148"/>
    <x v="8"/>
    <x v="0"/>
    <n v="39.700000000000003"/>
    <n v="39.700000000000003"/>
    <x v="5"/>
    <d v="2025-01-10T00:00:00"/>
    <x v="1"/>
    <x v="0"/>
    <x v="0"/>
    <x v="0"/>
    <x v="3"/>
    <x v="5"/>
    <x v="1"/>
    <x v="1"/>
  </r>
  <r>
    <x v="149"/>
    <x v="10"/>
    <x v="12"/>
    <n v="31.1"/>
    <n v="124.4"/>
    <x v="5"/>
    <d v="2025-01-08T00:00:00"/>
    <x v="2"/>
    <x v="2"/>
    <x v="1"/>
    <x v="0"/>
    <x v="3"/>
    <x v="1"/>
    <x v="1"/>
    <x v="2"/>
  </r>
  <r>
    <x v="150"/>
    <x v="13"/>
    <x v="20"/>
    <n v="23.4"/>
    <n v="351"/>
    <x v="5"/>
    <d v="2025-01-15T00:00:00"/>
    <x v="1"/>
    <x v="0"/>
    <x v="0"/>
    <x v="0"/>
    <x v="3"/>
    <x v="8"/>
    <x v="1"/>
    <x v="1"/>
  </r>
  <r>
    <x v="151"/>
    <x v="1"/>
    <x v="12"/>
    <n v="57.1"/>
    <n v="228.4"/>
    <x v="6"/>
    <d v="2025-01-08T00:00:00"/>
    <x v="1"/>
    <x v="2"/>
    <x v="0"/>
    <x v="0"/>
    <x v="25"/>
    <x v="3"/>
    <x v="1"/>
    <x v="1"/>
  </r>
  <r>
    <x v="152"/>
    <x v="2"/>
    <x v="9"/>
    <n v="89.9"/>
    <n v="449.5"/>
    <x v="6"/>
    <d v="2025-01-07T00:00:00"/>
    <x v="2"/>
    <x v="0"/>
    <x v="3"/>
    <x v="0"/>
    <x v="23"/>
    <x v="7"/>
    <x v="1"/>
    <x v="2"/>
  </r>
  <r>
    <x v="153"/>
    <x v="10"/>
    <x v="3"/>
    <n v="48.1"/>
    <n v="336.7"/>
    <x v="6"/>
    <d v="2025-01-09T00:00:00"/>
    <x v="2"/>
    <x v="1"/>
    <x v="2"/>
    <x v="0"/>
    <x v="6"/>
    <x v="1"/>
    <x v="1"/>
    <x v="2"/>
  </r>
  <r>
    <x v="154"/>
    <x v="8"/>
    <x v="1"/>
    <n v="29.3"/>
    <n v="58.6"/>
    <x v="6"/>
    <d v="2025-01-07T00:00:00"/>
    <x v="2"/>
    <x v="1"/>
    <x v="1"/>
    <x v="0"/>
    <x v="6"/>
    <x v="7"/>
    <x v="1"/>
    <x v="2"/>
  </r>
  <r>
    <x v="155"/>
    <x v="8"/>
    <x v="12"/>
    <n v="28.8"/>
    <n v="115.2"/>
    <x v="6"/>
    <d v="2025-01-08T00:00:00"/>
    <x v="2"/>
    <x v="0"/>
    <x v="4"/>
    <x v="0"/>
    <x v="6"/>
    <x v="3"/>
    <x v="1"/>
    <x v="2"/>
  </r>
  <r>
    <x v="156"/>
    <x v="10"/>
    <x v="9"/>
    <n v="40.5"/>
    <n v="202.5"/>
    <x v="6"/>
    <d v="2025-01-11T00:00:00"/>
    <x v="2"/>
    <x v="3"/>
    <x v="0"/>
    <x v="0"/>
    <x v="6"/>
    <x v="5"/>
    <x v="1"/>
    <x v="2"/>
  </r>
  <r>
    <x v="157"/>
    <x v="18"/>
    <x v="21"/>
    <n v="65.099999999999994"/>
    <n v="911.39999999999986"/>
    <x v="6"/>
    <d v="2025-01-08T00:00:00"/>
    <x v="2"/>
    <x v="4"/>
    <x v="0"/>
    <x v="0"/>
    <x v="7"/>
    <x v="3"/>
    <x v="1"/>
    <x v="2"/>
  </r>
  <r>
    <x v="158"/>
    <x v="8"/>
    <x v="12"/>
    <n v="40.299999999999997"/>
    <n v="161.19999999999999"/>
    <x v="6"/>
    <d v="2025-01-12T00:00:00"/>
    <x v="2"/>
    <x v="2"/>
    <x v="0"/>
    <x v="0"/>
    <x v="7"/>
    <x v="0"/>
    <x v="1"/>
    <x v="2"/>
  </r>
  <r>
    <x v="159"/>
    <x v="6"/>
    <x v="9"/>
    <n v="51.8"/>
    <n v="259"/>
    <x v="6"/>
    <d v="2025-01-08T00:00:00"/>
    <x v="1"/>
    <x v="2"/>
    <x v="2"/>
    <x v="0"/>
    <x v="8"/>
    <x v="3"/>
    <x v="1"/>
    <x v="1"/>
  </r>
  <r>
    <x v="160"/>
    <x v="6"/>
    <x v="2"/>
    <n v="61.3"/>
    <n v="183.89999999999998"/>
    <x v="6"/>
    <d v="2025-01-08T00:00:00"/>
    <x v="2"/>
    <x v="3"/>
    <x v="0"/>
    <x v="0"/>
    <x v="8"/>
    <x v="3"/>
    <x v="1"/>
    <x v="2"/>
  </r>
  <r>
    <x v="161"/>
    <x v="2"/>
    <x v="12"/>
    <n v="122.5"/>
    <n v="490"/>
    <x v="6"/>
    <d v="2025-01-08T00:00:00"/>
    <x v="1"/>
    <x v="0"/>
    <x v="0"/>
    <x v="0"/>
    <x v="8"/>
    <x v="3"/>
    <x v="1"/>
    <x v="1"/>
  </r>
  <r>
    <x v="162"/>
    <x v="0"/>
    <x v="11"/>
    <n v="12.5"/>
    <n v="112.5"/>
    <x v="6"/>
    <d v="2025-01-08T00:00:00"/>
    <x v="0"/>
    <x v="1"/>
    <x v="2"/>
    <x v="0"/>
    <x v="8"/>
    <x v="3"/>
    <x v="1"/>
    <x v="0"/>
  </r>
  <r>
    <x v="163"/>
    <x v="15"/>
    <x v="8"/>
    <n v="37.5"/>
    <n v="300"/>
    <x v="6"/>
    <d v="2025-01-08T00:00:00"/>
    <x v="2"/>
    <x v="0"/>
    <x v="0"/>
    <x v="0"/>
    <x v="9"/>
    <x v="3"/>
    <x v="1"/>
    <x v="2"/>
  </r>
  <r>
    <x v="164"/>
    <x v="6"/>
    <x v="2"/>
    <n v="40"/>
    <n v="120"/>
    <x v="6"/>
    <d v="2025-01-10T00:00:00"/>
    <x v="1"/>
    <x v="0"/>
    <x v="4"/>
    <x v="0"/>
    <x v="11"/>
    <x v="2"/>
    <x v="1"/>
    <x v="1"/>
  </r>
  <r>
    <x v="165"/>
    <x v="17"/>
    <x v="8"/>
    <n v="38.5"/>
    <n v="308"/>
    <x v="6"/>
    <d v="2025-01-12T00:00:00"/>
    <x v="2"/>
    <x v="2"/>
    <x v="1"/>
    <x v="0"/>
    <x v="11"/>
    <x v="0"/>
    <x v="1"/>
    <x v="2"/>
  </r>
  <r>
    <x v="166"/>
    <x v="2"/>
    <x v="1"/>
    <n v="86.4"/>
    <n v="172.8"/>
    <x v="6"/>
    <d v="2025-01-09T00:00:00"/>
    <x v="2"/>
    <x v="0"/>
    <x v="0"/>
    <x v="0"/>
    <x v="18"/>
    <x v="1"/>
    <x v="1"/>
    <x v="2"/>
  </r>
  <r>
    <x v="167"/>
    <x v="10"/>
    <x v="0"/>
    <n v="50.7"/>
    <n v="50.7"/>
    <x v="6"/>
    <d v="2025-01-11T00:00:00"/>
    <x v="2"/>
    <x v="1"/>
    <x v="0"/>
    <x v="0"/>
    <x v="18"/>
    <x v="5"/>
    <x v="1"/>
    <x v="2"/>
  </r>
  <r>
    <x v="168"/>
    <x v="10"/>
    <x v="1"/>
    <n v="61"/>
    <n v="122"/>
    <x v="6"/>
    <d v="2025-01-18T00:00:00"/>
    <x v="2"/>
    <x v="4"/>
    <x v="1"/>
    <x v="0"/>
    <x v="18"/>
    <x v="11"/>
    <x v="1"/>
    <x v="2"/>
  </r>
  <r>
    <x v="169"/>
    <x v="4"/>
    <x v="1"/>
    <n v="19.899999999999999"/>
    <n v="39.799999999999997"/>
    <x v="6"/>
    <d v="2025-01-10T00:00:00"/>
    <x v="2"/>
    <x v="1"/>
    <x v="0"/>
    <x v="0"/>
    <x v="28"/>
    <x v="2"/>
    <x v="1"/>
    <x v="2"/>
  </r>
  <r>
    <x v="170"/>
    <x v="5"/>
    <x v="0"/>
    <n v="78.3"/>
    <n v="78.3"/>
    <x v="6"/>
    <d v="2025-01-07T00:00:00"/>
    <x v="2"/>
    <x v="0"/>
    <x v="2"/>
    <x v="0"/>
    <x v="1"/>
    <x v="7"/>
    <x v="1"/>
    <x v="2"/>
  </r>
  <r>
    <x v="171"/>
    <x v="0"/>
    <x v="10"/>
    <n v="10.4"/>
    <n v="197.6"/>
    <x v="6"/>
    <d v="2025-01-09T00:00:00"/>
    <x v="1"/>
    <x v="0"/>
    <x v="2"/>
    <x v="0"/>
    <x v="2"/>
    <x v="1"/>
    <x v="1"/>
    <x v="1"/>
  </r>
  <r>
    <x v="172"/>
    <x v="10"/>
    <x v="0"/>
    <n v="36.1"/>
    <n v="36.1"/>
    <x v="6"/>
    <d v="2025-01-10T00:00:00"/>
    <x v="1"/>
    <x v="3"/>
    <x v="2"/>
    <x v="0"/>
    <x v="3"/>
    <x v="2"/>
    <x v="1"/>
    <x v="1"/>
  </r>
  <r>
    <x v="173"/>
    <x v="14"/>
    <x v="1"/>
    <n v="17.3"/>
    <n v="34.6"/>
    <x v="6"/>
    <d v="2025-01-09T00:00:00"/>
    <x v="2"/>
    <x v="1"/>
    <x v="2"/>
    <x v="0"/>
    <x v="3"/>
    <x v="1"/>
    <x v="1"/>
    <x v="2"/>
  </r>
  <r>
    <x v="174"/>
    <x v="10"/>
    <x v="1"/>
    <n v="30.5"/>
    <n v="61"/>
    <x v="6"/>
    <d v="2025-01-08T00:00:00"/>
    <x v="2"/>
    <x v="1"/>
    <x v="2"/>
    <x v="0"/>
    <x v="3"/>
    <x v="3"/>
    <x v="1"/>
    <x v="2"/>
  </r>
  <r>
    <x v="175"/>
    <x v="18"/>
    <x v="22"/>
    <n v="70.099999999999994"/>
    <n v="4346.2"/>
    <x v="6"/>
    <d v="2025-01-07T00:00:00"/>
    <x v="2"/>
    <x v="2"/>
    <x v="0"/>
    <x v="0"/>
    <x v="3"/>
    <x v="7"/>
    <x v="1"/>
    <x v="2"/>
  </r>
  <r>
    <x v="176"/>
    <x v="3"/>
    <x v="0"/>
    <n v="76.099999999999994"/>
    <n v="76.099999999999994"/>
    <x v="6"/>
    <d v="2025-01-07T00:00:00"/>
    <x v="2"/>
    <x v="2"/>
    <x v="1"/>
    <x v="0"/>
    <x v="3"/>
    <x v="7"/>
    <x v="1"/>
    <x v="2"/>
  </r>
  <r>
    <x v="177"/>
    <x v="15"/>
    <x v="15"/>
    <n v="34.200000000000003"/>
    <n v="444.6"/>
    <x v="6"/>
    <d v="2025-01-08T00:00:00"/>
    <x v="1"/>
    <x v="0"/>
    <x v="0"/>
    <x v="0"/>
    <x v="3"/>
    <x v="3"/>
    <x v="1"/>
    <x v="1"/>
  </r>
  <r>
    <x v="178"/>
    <x v="8"/>
    <x v="9"/>
    <n v="30.3"/>
    <n v="151.5"/>
    <x v="6"/>
    <d v="2025-01-12T00:00:00"/>
    <x v="2"/>
    <x v="4"/>
    <x v="0"/>
    <x v="0"/>
    <x v="3"/>
    <x v="0"/>
    <x v="1"/>
    <x v="2"/>
  </r>
  <r>
    <x v="179"/>
    <x v="6"/>
    <x v="9"/>
    <n v="52.5"/>
    <n v="262.5"/>
    <x v="6"/>
    <d v="2025-01-11T00:00:00"/>
    <x v="0"/>
    <x v="3"/>
    <x v="0"/>
    <x v="0"/>
    <x v="3"/>
    <x v="5"/>
    <x v="1"/>
    <x v="0"/>
  </r>
  <r>
    <x v="180"/>
    <x v="9"/>
    <x v="5"/>
    <n v="28.7"/>
    <n v="315.7"/>
    <x v="6"/>
    <d v="2025-01-08T00:00:00"/>
    <x v="2"/>
    <x v="2"/>
    <x v="0"/>
    <x v="0"/>
    <x v="3"/>
    <x v="3"/>
    <x v="1"/>
    <x v="2"/>
  </r>
  <r>
    <x v="181"/>
    <x v="7"/>
    <x v="3"/>
    <n v="52"/>
    <n v="364"/>
    <x v="6"/>
    <d v="2025-01-08T00:00:00"/>
    <x v="1"/>
    <x v="1"/>
    <x v="4"/>
    <x v="0"/>
    <x v="3"/>
    <x v="3"/>
    <x v="1"/>
    <x v="1"/>
  </r>
  <r>
    <x v="182"/>
    <x v="0"/>
    <x v="0"/>
    <n v="13.3"/>
    <n v="13.3"/>
    <x v="7"/>
    <d v="2025-01-12T00:00:00"/>
    <x v="2"/>
    <x v="2"/>
    <x v="1"/>
    <x v="0"/>
    <x v="3"/>
    <x v="5"/>
    <x v="1"/>
    <x v="2"/>
  </r>
  <r>
    <x v="183"/>
    <x v="0"/>
    <x v="2"/>
    <n v="15.7"/>
    <n v="47.099999999999994"/>
    <x v="7"/>
    <d v="2025-01-09T00:00:00"/>
    <x v="2"/>
    <x v="1"/>
    <x v="0"/>
    <x v="0"/>
    <x v="29"/>
    <x v="3"/>
    <x v="1"/>
    <x v="2"/>
  </r>
  <r>
    <x v="184"/>
    <x v="8"/>
    <x v="1"/>
    <n v="25.6"/>
    <n v="51.2"/>
    <x v="7"/>
    <d v="2025-01-09T00:00:00"/>
    <x v="1"/>
    <x v="0"/>
    <x v="2"/>
    <x v="0"/>
    <x v="23"/>
    <x v="3"/>
    <x v="1"/>
    <x v="1"/>
  </r>
  <r>
    <x v="185"/>
    <x v="8"/>
    <x v="0"/>
    <n v="43.4"/>
    <n v="43.4"/>
    <x v="7"/>
    <d v="2025-01-13T00:00:00"/>
    <x v="1"/>
    <x v="0"/>
    <x v="0"/>
    <x v="0"/>
    <x v="6"/>
    <x v="0"/>
    <x v="1"/>
    <x v="1"/>
  </r>
  <r>
    <x v="186"/>
    <x v="11"/>
    <x v="11"/>
    <n v="33.4"/>
    <n v="300.59999999999997"/>
    <x v="7"/>
    <d v="2025-01-08T00:00:00"/>
    <x v="2"/>
    <x v="0"/>
    <x v="0"/>
    <x v="0"/>
    <x v="8"/>
    <x v="7"/>
    <x v="1"/>
    <x v="2"/>
  </r>
  <r>
    <x v="187"/>
    <x v="8"/>
    <x v="10"/>
    <n v="55"/>
    <n v="1045"/>
    <x v="7"/>
    <d v="2025-01-09T00:00:00"/>
    <x v="2"/>
    <x v="1"/>
    <x v="2"/>
    <x v="0"/>
    <x v="8"/>
    <x v="3"/>
    <x v="1"/>
    <x v="2"/>
  </r>
  <r>
    <x v="188"/>
    <x v="8"/>
    <x v="2"/>
    <n v="23.6"/>
    <n v="70.800000000000011"/>
    <x v="7"/>
    <d v="2025-01-09T00:00:00"/>
    <x v="1"/>
    <x v="0"/>
    <x v="2"/>
    <x v="0"/>
    <x v="8"/>
    <x v="3"/>
    <x v="1"/>
    <x v="1"/>
  </r>
  <r>
    <x v="189"/>
    <x v="12"/>
    <x v="11"/>
    <n v="104"/>
    <n v="936"/>
    <x v="7"/>
    <d v="2025-01-10T00:00:00"/>
    <x v="2"/>
    <x v="2"/>
    <x v="2"/>
    <x v="0"/>
    <x v="17"/>
    <x v="1"/>
    <x v="1"/>
    <x v="2"/>
  </r>
  <r>
    <x v="190"/>
    <x v="6"/>
    <x v="1"/>
    <n v="51.8"/>
    <n v="103.6"/>
    <x v="7"/>
    <d v="2025-01-12T00:00:00"/>
    <x v="0"/>
    <x v="0"/>
    <x v="2"/>
    <x v="0"/>
    <x v="10"/>
    <x v="5"/>
    <x v="1"/>
    <x v="0"/>
  </r>
  <r>
    <x v="191"/>
    <x v="10"/>
    <x v="9"/>
    <n v="34.5"/>
    <n v="172.5"/>
    <x v="7"/>
    <d v="2025-01-10T00:00:00"/>
    <x v="0"/>
    <x v="2"/>
    <x v="2"/>
    <x v="0"/>
    <x v="11"/>
    <x v="1"/>
    <x v="1"/>
    <x v="0"/>
  </r>
  <r>
    <x v="192"/>
    <x v="6"/>
    <x v="1"/>
    <n v="51.8"/>
    <n v="103.6"/>
    <x v="7"/>
    <d v="2025-01-10T00:00:00"/>
    <x v="1"/>
    <x v="1"/>
    <x v="2"/>
    <x v="0"/>
    <x v="30"/>
    <x v="1"/>
    <x v="1"/>
    <x v="1"/>
  </r>
  <r>
    <x v="193"/>
    <x v="18"/>
    <x v="23"/>
    <n v="131.5"/>
    <n v="5654.5"/>
    <x v="7"/>
    <d v="2025-01-09T00:00:00"/>
    <x v="2"/>
    <x v="0"/>
    <x v="2"/>
    <x v="0"/>
    <x v="18"/>
    <x v="3"/>
    <x v="1"/>
    <x v="2"/>
  </r>
  <r>
    <x v="194"/>
    <x v="8"/>
    <x v="3"/>
    <n v="47.8"/>
    <n v="334.59999999999997"/>
    <x v="7"/>
    <d v="2025-01-08T00:00:00"/>
    <x v="2"/>
    <x v="0"/>
    <x v="0"/>
    <x v="0"/>
    <x v="19"/>
    <x v="7"/>
    <x v="1"/>
    <x v="2"/>
  </r>
  <r>
    <x v="195"/>
    <x v="0"/>
    <x v="1"/>
    <n v="10.199999999999999"/>
    <n v="20.399999999999999"/>
    <x v="7"/>
    <d v="2025-01-10T00:00:00"/>
    <x v="2"/>
    <x v="0"/>
    <x v="0"/>
    <x v="0"/>
    <x v="19"/>
    <x v="1"/>
    <x v="1"/>
    <x v="2"/>
  </r>
  <r>
    <x v="196"/>
    <x v="8"/>
    <x v="8"/>
    <n v="41"/>
    <n v="328"/>
    <x v="7"/>
    <d v="2025-01-08T00:00:00"/>
    <x v="2"/>
    <x v="1"/>
    <x v="2"/>
    <x v="0"/>
    <x v="19"/>
    <x v="7"/>
    <x v="1"/>
    <x v="2"/>
  </r>
  <r>
    <x v="197"/>
    <x v="10"/>
    <x v="3"/>
    <n v="50.8"/>
    <n v="355.59999999999997"/>
    <x v="7"/>
    <d v="2025-01-11T00:00:00"/>
    <x v="2"/>
    <x v="1"/>
    <x v="0"/>
    <x v="0"/>
    <x v="21"/>
    <x v="2"/>
    <x v="1"/>
    <x v="2"/>
  </r>
  <r>
    <x v="198"/>
    <x v="18"/>
    <x v="2"/>
    <n v="39.6"/>
    <n v="118.80000000000001"/>
    <x v="7"/>
    <d v="2025-01-09T00:00:00"/>
    <x v="1"/>
    <x v="2"/>
    <x v="2"/>
    <x v="0"/>
    <x v="1"/>
    <x v="3"/>
    <x v="1"/>
    <x v="1"/>
  </r>
  <r>
    <x v="199"/>
    <x v="5"/>
    <x v="1"/>
    <n v="69.5"/>
    <n v="139"/>
    <x v="7"/>
    <d v="2025-01-10T00:00:00"/>
    <x v="1"/>
    <x v="0"/>
    <x v="2"/>
    <x v="0"/>
    <x v="2"/>
    <x v="1"/>
    <x v="1"/>
    <x v="1"/>
  </r>
  <r>
    <x v="200"/>
    <x v="8"/>
    <x v="8"/>
    <n v="32.6"/>
    <n v="260.8"/>
    <x v="7"/>
    <d v="2025-01-11T00:00:00"/>
    <x v="1"/>
    <x v="1"/>
    <x v="0"/>
    <x v="0"/>
    <x v="3"/>
    <x v="2"/>
    <x v="1"/>
    <x v="1"/>
  </r>
  <r>
    <x v="201"/>
    <x v="7"/>
    <x v="1"/>
    <n v="49.1"/>
    <n v="98.2"/>
    <x v="7"/>
    <d v="2025-01-16T00:00:00"/>
    <x v="1"/>
    <x v="3"/>
    <x v="2"/>
    <x v="0"/>
    <x v="3"/>
    <x v="9"/>
    <x v="1"/>
    <x v="1"/>
  </r>
  <r>
    <x v="202"/>
    <x v="6"/>
    <x v="1"/>
    <n v="49.4"/>
    <n v="98.8"/>
    <x v="8"/>
    <d v="2025-01-10T00:00:00"/>
    <x v="2"/>
    <x v="2"/>
    <x v="0"/>
    <x v="0"/>
    <x v="3"/>
    <x v="3"/>
    <x v="1"/>
    <x v="2"/>
  </r>
  <r>
    <x v="203"/>
    <x v="7"/>
    <x v="3"/>
    <n v="65.099999999999994"/>
    <n v="455.69999999999993"/>
    <x v="8"/>
    <d v="2025-01-12T00:00:00"/>
    <x v="2"/>
    <x v="2"/>
    <x v="2"/>
    <x v="0"/>
    <x v="3"/>
    <x v="2"/>
    <x v="1"/>
    <x v="2"/>
  </r>
  <r>
    <x v="204"/>
    <x v="3"/>
    <x v="1"/>
    <n v="52.1"/>
    <n v="104.2"/>
    <x v="8"/>
    <d v="2025-01-13T00:00:00"/>
    <x v="2"/>
    <x v="2"/>
    <x v="0"/>
    <x v="0"/>
    <x v="3"/>
    <x v="5"/>
    <x v="1"/>
    <x v="2"/>
  </r>
  <r>
    <x v="205"/>
    <x v="2"/>
    <x v="12"/>
    <n v="129.19999999999999"/>
    <n v="516.79999999999995"/>
    <x v="8"/>
    <d v="2025-01-10T00:00:00"/>
    <x v="2"/>
    <x v="1"/>
    <x v="0"/>
    <x v="0"/>
    <x v="3"/>
    <x v="3"/>
    <x v="1"/>
    <x v="2"/>
  </r>
  <r>
    <x v="206"/>
    <x v="1"/>
    <x v="10"/>
    <n v="81.8"/>
    <n v="1554.2"/>
    <x v="8"/>
    <d v="2025-01-09T00:00:00"/>
    <x v="2"/>
    <x v="1"/>
    <x v="1"/>
    <x v="0"/>
    <x v="3"/>
    <x v="7"/>
    <x v="1"/>
    <x v="2"/>
  </r>
  <r>
    <x v="207"/>
    <x v="17"/>
    <x v="0"/>
    <n v="24.9"/>
    <n v="24.9"/>
    <x v="8"/>
    <d v="2025-01-13T00:00:00"/>
    <x v="2"/>
    <x v="1"/>
    <x v="0"/>
    <x v="0"/>
    <x v="3"/>
    <x v="5"/>
    <x v="1"/>
    <x v="2"/>
  </r>
  <r>
    <x v="208"/>
    <x v="0"/>
    <x v="2"/>
    <n v="49.4"/>
    <n v="148.19999999999999"/>
    <x v="8"/>
    <d v="2025-01-12T00:00:00"/>
    <x v="2"/>
    <x v="4"/>
    <x v="4"/>
    <x v="0"/>
    <x v="3"/>
    <x v="2"/>
    <x v="1"/>
    <x v="2"/>
  </r>
  <r>
    <x v="209"/>
    <x v="8"/>
    <x v="1"/>
    <n v="22.7"/>
    <n v="45.4"/>
    <x v="8"/>
    <d v="2025-01-10T00:00:00"/>
    <x v="1"/>
    <x v="3"/>
    <x v="2"/>
    <x v="0"/>
    <x v="3"/>
    <x v="3"/>
    <x v="1"/>
    <x v="1"/>
  </r>
  <r>
    <x v="210"/>
    <x v="1"/>
    <x v="0"/>
    <n v="77.3"/>
    <n v="77.3"/>
    <x v="8"/>
    <d v="2025-01-09T00:00:00"/>
    <x v="2"/>
    <x v="0"/>
    <x v="2"/>
    <x v="0"/>
    <x v="6"/>
    <x v="7"/>
    <x v="1"/>
    <x v="2"/>
  </r>
  <r>
    <x v="211"/>
    <x v="1"/>
    <x v="9"/>
    <n v="109.1"/>
    <n v="545.5"/>
    <x v="8"/>
    <d v="2025-01-12T00:00:00"/>
    <x v="2"/>
    <x v="0"/>
    <x v="0"/>
    <x v="0"/>
    <x v="6"/>
    <x v="2"/>
    <x v="1"/>
    <x v="2"/>
  </r>
  <r>
    <x v="212"/>
    <x v="2"/>
    <x v="12"/>
    <n v="53.9"/>
    <n v="215.6"/>
    <x v="8"/>
    <d v="2025-01-10T00:00:00"/>
    <x v="1"/>
    <x v="0"/>
    <x v="1"/>
    <x v="0"/>
    <x v="8"/>
    <x v="3"/>
    <x v="1"/>
    <x v="1"/>
  </r>
  <r>
    <x v="213"/>
    <x v="9"/>
    <x v="18"/>
    <n v="21.2"/>
    <n v="551.19999999999993"/>
    <x v="8"/>
    <d v="2025-01-09T00:00:00"/>
    <x v="2"/>
    <x v="0"/>
    <x v="0"/>
    <x v="0"/>
    <x v="9"/>
    <x v="7"/>
    <x v="1"/>
    <x v="2"/>
  </r>
  <r>
    <x v="214"/>
    <x v="16"/>
    <x v="12"/>
    <n v="69"/>
    <n v="276"/>
    <x v="8"/>
    <d v="2025-01-11T00:00:00"/>
    <x v="2"/>
    <x v="1"/>
    <x v="1"/>
    <x v="0"/>
    <x v="18"/>
    <x v="1"/>
    <x v="1"/>
    <x v="2"/>
  </r>
  <r>
    <x v="215"/>
    <x v="6"/>
    <x v="2"/>
    <n v="46.2"/>
    <n v="138.60000000000002"/>
    <x v="8"/>
    <d v="2025-01-11T00:00:00"/>
    <x v="2"/>
    <x v="0"/>
    <x v="2"/>
    <x v="0"/>
    <x v="31"/>
    <x v="1"/>
    <x v="1"/>
    <x v="2"/>
  </r>
  <r>
    <x v="216"/>
    <x v="1"/>
    <x v="9"/>
    <n v="97.4"/>
    <n v="487"/>
    <x v="8"/>
    <d v="2025-01-13T00:00:00"/>
    <x v="2"/>
    <x v="4"/>
    <x v="2"/>
    <x v="0"/>
    <x v="21"/>
    <x v="5"/>
    <x v="1"/>
    <x v="2"/>
  </r>
  <r>
    <x v="217"/>
    <x v="8"/>
    <x v="9"/>
    <n v="21"/>
    <n v="105"/>
    <x v="8"/>
    <d v="2025-01-10T00:00:00"/>
    <x v="1"/>
    <x v="0"/>
    <x v="1"/>
    <x v="0"/>
    <x v="21"/>
    <x v="3"/>
    <x v="1"/>
    <x v="1"/>
  </r>
  <r>
    <x v="218"/>
    <x v="5"/>
    <x v="1"/>
    <n v="32.700000000000003"/>
    <n v="65.400000000000006"/>
    <x v="9"/>
    <d v="2025-01-13T00:00:00"/>
    <x v="2"/>
    <x v="1"/>
    <x v="0"/>
    <x v="0"/>
    <x v="2"/>
    <x v="2"/>
    <x v="1"/>
    <x v="2"/>
  </r>
  <r>
    <x v="219"/>
    <x v="6"/>
    <x v="12"/>
    <n v="48"/>
    <n v="192"/>
    <x v="9"/>
    <d v="2025-01-11T00:00:00"/>
    <x v="1"/>
    <x v="3"/>
    <x v="0"/>
    <x v="0"/>
    <x v="3"/>
    <x v="3"/>
    <x v="1"/>
    <x v="1"/>
  </r>
  <r>
    <x v="220"/>
    <x v="6"/>
    <x v="2"/>
    <n v="68.2"/>
    <n v="204.60000000000002"/>
    <x v="9"/>
    <d v="2025-01-14T00:00:00"/>
    <x v="0"/>
    <x v="0"/>
    <x v="2"/>
    <x v="0"/>
    <x v="3"/>
    <x v="5"/>
    <x v="1"/>
    <x v="0"/>
  </r>
  <r>
    <x v="221"/>
    <x v="5"/>
    <x v="0"/>
    <n v="45.4"/>
    <n v="45.4"/>
    <x v="9"/>
    <d v="2025-01-12T00:00:00"/>
    <x v="1"/>
    <x v="1"/>
    <x v="0"/>
    <x v="0"/>
    <x v="3"/>
    <x v="1"/>
    <x v="1"/>
    <x v="1"/>
  </r>
  <r>
    <x v="222"/>
    <x v="12"/>
    <x v="1"/>
    <n v="53.9"/>
    <n v="107.8"/>
    <x v="9"/>
    <d v="2025-01-11T00:00:00"/>
    <x v="2"/>
    <x v="2"/>
    <x v="0"/>
    <x v="0"/>
    <x v="3"/>
    <x v="3"/>
    <x v="1"/>
    <x v="2"/>
  </r>
  <r>
    <x v="223"/>
    <x v="2"/>
    <x v="12"/>
    <n v="62.1"/>
    <n v="248.4"/>
    <x v="9"/>
    <d v="2025-01-14T00:00:00"/>
    <x v="2"/>
    <x v="0"/>
    <x v="0"/>
    <x v="0"/>
    <x v="4"/>
    <x v="5"/>
    <x v="1"/>
    <x v="2"/>
  </r>
  <r>
    <x v="224"/>
    <x v="13"/>
    <x v="3"/>
    <n v="33.1"/>
    <n v="231.70000000000002"/>
    <x v="9"/>
    <d v="2025-01-15T00:00:00"/>
    <x v="1"/>
    <x v="1"/>
    <x v="0"/>
    <x v="0"/>
    <x v="6"/>
    <x v="0"/>
    <x v="1"/>
    <x v="1"/>
  </r>
  <r>
    <x v="225"/>
    <x v="18"/>
    <x v="9"/>
    <n v="35.200000000000003"/>
    <n v="176"/>
    <x v="9"/>
    <d v="2025-01-10T00:00:00"/>
    <x v="2"/>
    <x v="1"/>
    <x v="0"/>
    <x v="0"/>
    <x v="6"/>
    <x v="7"/>
    <x v="1"/>
    <x v="2"/>
  </r>
  <r>
    <x v="226"/>
    <x v="9"/>
    <x v="2"/>
    <n v="32.1"/>
    <n v="96.300000000000011"/>
    <x v="9"/>
    <d v="2025-01-15T00:00:00"/>
    <x v="1"/>
    <x v="3"/>
    <x v="0"/>
    <x v="0"/>
    <x v="8"/>
    <x v="0"/>
    <x v="1"/>
    <x v="1"/>
  </r>
  <r>
    <x v="227"/>
    <x v="11"/>
    <x v="0"/>
    <n v="38.1"/>
    <n v="38.1"/>
    <x v="9"/>
    <d v="2025-01-15T00:00:00"/>
    <x v="2"/>
    <x v="0"/>
    <x v="2"/>
    <x v="0"/>
    <x v="8"/>
    <x v="0"/>
    <x v="1"/>
    <x v="2"/>
  </r>
  <r>
    <x v="228"/>
    <x v="8"/>
    <x v="0"/>
    <n v="65.2"/>
    <n v="65.2"/>
    <x v="9"/>
    <d v="2025-01-15T00:00:00"/>
    <x v="2"/>
    <x v="3"/>
    <x v="1"/>
    <x v="0"/>
    <x v="8"/>
    <x v="0"/>
    <x v="1"/>
    <x v="2"/>
  </r>
  <r>
    <x v="229"/>
    <x v="10"/>
    <x v="3"/>
    <n v="55.2"/>
    <n v="386.40000000000003"/>
    <x v="9"/>
    <d v="2025-01-11T00:00:00"/>
    <x v="1"/>
    <x v="2"/>
    <x v="0"/>
    <x v="0"/>
    <x v="11"/>
    <x v="3"/>
    <x v="1"/>
    <x v="1"/>
  </r>
  <r>
    <x v="230"/>
    <x v="6"/>
    <x v="0"/>
    <n v="62"/>
    <n v="62"/>
    <x v="9"/>
    <d v="2025-01-14T00:00:00"/>
    <x v="2"/>
    <x v="0"/>
    <x v="0"/>
    <x v="0"/>
    <x v="11"/>
    <x v="5"/>
    <x v="1"/>
    <x v="2"/>
  </r>
  <r>
    <x v="231"/>
    <x v="7"/>
    <x v="2"/>
    <n v="45.9"/>
    <n v="137.69999999999999"/>
    <x v="9"/>
    <d v="2025-01-11T00:00:00"/>
    <x v="2"/>
    <x v="2"/>
    <x v="0"/>
    <x v="0"/>
    <x v="32"/>
    <x v="3"/>
    <x v="1"/>
    <x v="2"/>
  </r>
  <r>
    <x v="232"/>
    <x v="18"/>
    <x v="2"/>
    <n v="58.3"/>
    <n v="174.89999999999998"/>
    <x v="9"/>
    <d v="2025-01-10T00:00:00"/>
    <x v="1"/>
    <x v="1"/>
    <x v="1"/>
    <x v="0"/>
    <x v="18"/>
    <x v="7"/>
    <x v="1"/>
    <x v="1"/>
  </r>
  <r>
    <x v="233"/>
    <x v="8"/>
    <x v="1"/>
    <n v="22.3"/>
    <n v="44.6"/>
    <x v="9"/>
    <d v="2025-01-13T00:00:00"/>
    <x v="2"/>
    <x v="0"/>
    <x v="2"/>
    <x v="0"/>
    <x v="20"/>
    <x v="2"/>
    <x v="1"/>
    <x v="2"/>
  </r>
  <r>
    <x v="234"/>
    <x v="19"/>
    <x v="9"/>
    <n v="24"/>
    <n v="120"/>
    <x v="9"/>
    <d v="2025-01-11T00:00:00"/>
    <x v="1"/>
    <x v="4"/>
    <x v="0"/>
    <x v="0"/>
    <x v="1"/>
    <x v="3"/>
    <x v="1"/>
    <x v="1"/>
  </r>
  <r>
    <x v="235"/>
    <x v="0"/>
    <x v="7"/>
    <n v="21.3"/>
    <n v="213"/>
    <x v="9"/>
    <d v="2025-01-10T00:00:00"/>
    <x v="2"/>
    <x v="1"/>
    <x v="2"/>
    <x v="0"/>
    <x v="22"/>
    <x v="7"/>
    <x v="1"/>
    <x v="2"/>
  </r>
  <r>
    <x v="236"/>
    <x v="6"/>
    <x v="24"/>
    <n v="57.8"/>
    <n v="2369.7999999999997"/>
    <x v="9"/>
    <d v="2025-01-12T00:00:00"/>
    <x v="2"/>
    <x v="0"/>
    <x v="2"/>
    <x v="0"/>
    <x v="3"/>
    <x v="1"/>
    <x v="1"/>
    <x v="2"/>
  </r>
  <r>
    <x v="237"/>
    <x v="10"/>
    <x v="2"/>
    <n v="67.599999999999994"/>
    <n v="202.79999999999998"/>
    <x v="9"/>
    <d v="2025-01-11T00:00:00"/>
    <x v="2"/>
    <x v="0"/>
    <x v="0"/>
    <x v="0"/>
    <x v="3"/>
    <x v="3"/>
    <x v="1"/>
    <x v="2"/>
  </r>
  <r>
    <x v="238"/>
    <x v="6"/>
    <x v="13"/>
    <n v="66.7"/>
    <n v="400.20000000000005"/>
    <x v="9"/>
    <d v="2025-01-14T00:00:00"/>
    <x v="1"/>
    <x v="4"/>
    <x v="1"/>
    <x v="0"/>
    <x v="3"/>
    <x v="5"/>
    <x v="1"/>
    <x v="1"/>
  </r>
  <r>
    <x v="239"/>
    <x v="1"/>
    <x v="12"/>
    <n v="53.1"/>
    <n v="212.4"/>
    <x v="9"/>
    <d v="2025-01-12T00:00:00"/>
    <x v="2"/>
    <x v="1"/>
    <x v="0"/>
    <x v="0"/>
    <x v="3"/>
    <x v="1"/>
    <x v="1"/>
    <x v="2"/>
  </r>
  <r>
    <x v="240"/>
    <x v="12"/>
    <x v="2"/>
    <n v="57.4"/>
    <n v="172.2"/>
    <x v="9"/>
    <d v="2025-01-13T00:00:00"/>
    <x v="2"/>
    <x v="0"/>
    <x v="2"/>
    <x v="0"/>
    <x v="29"/>
    <x v="2"/>
    <x v="1"/>
    <x v="2"/>
  </r>
  <r>
    <x v="241"/>
    <x v="2"/>
    <x v="9"/>
    <n v="58.1"/>
    <n v="290.5"/>
    <x v="9"/>
    <d v="2025-01-10T00:00:00"/>
    <x v="1"/>
    <x v="2"/>
    <x v="2"/>
    <x v="0"/>
    <x v="6"/>
    <x v="7"/>
    <x v="1"/>
    <x v="1"/>
  </r>
  <r>
    <x v="242"/>
    <x v="5"/>
    <x v="2"/>
    <n v="31.8"/>
    <n v="95.4"/>
    <x v="10"/>
    <d v="2025-01-13T00:00:00"/>
    <x v="1"/>
    <x v="3"/>
    <x v="0"/>
    <x v="0"/>
    <x v="6"/>
    <x v="1"/>
    <x v="1"/>
    <x v="1"/>
  </r>
  <r>
    <x v="243"/>
    <x v="4"/>
    <x v="2"/>
    <n v="31.5"/>
    <n v="94.5"/>
    <x v="10"/>
    <d v="2025-01-14T00:00:00"/>
    <x v="1"/>
    <x v="0"/>
    <x v="1"/>
    <x v="0"/>
    <x v="8"/>
    <x v="2"/>
    <x v="1"/>
    <x v="1"/>
  </r>
  <r>
    <x v="244"/>
    <x v="6"/>
    <x v="3"/>
    <n v="55.9"/>
    <n v="391.3"/>
    <x v="10"/>
    <d v="2025-01-15T00:00:00"/>
    <x v="2"/>
    <x v="1"/>
    <x v="2"/>
    <x v="0"/>
    <x v="8"/>
    <x v="5"/>
    <x v="1"/>
    <x v="2"/>
  </r>
  <r>
    <x v="245"/>
    <x v="8"/>
    <x v="1"/>
    <n v="36.4"/>
    <n v="72.8"/>
    <x v="10"/>
    <d v="2025-01-12T00:00:00"/>
    <x v="1"/>
    <x v="1"/>
    <x v="1"/>
    <x v="0"/>
    <x v="9"/>
    <x v="3"/>
    <x v="1"/>
    <x v="1"/>
  </r>
  <r>
    <x v="246"/>
    <x v="1"/>
    <x v="9"/>
    <n v="47.3"/>
    <n v="236.5"/>
    <x v="10"/>
    <d v="2025-01-14T00:00:00"/>
    <x v="1"/>
    <x v="2"/>
    <x v="0"/>
    <x v="0"/>
    <x v="10"/>
    <x v="2"/>
    <x v="1"/>
    <x v="1"/>
  </r>
  <r>
    <x v="247"/>
    <x v="6"/>
    <x v="2"/>
    <n v="82.5"/>
    <n v="247.5"/>
    <x v="10"/>
    <d v="2025-01-12T00:00:00"/>
    <x v="1"/>
    <x v="0"/>
    <x v="0"/>
    <x v="0"/>
    <x v="11"/>
    <x v="3"/>
    <x v="1"/>
    <x v="1"/>
  </r>
  <r>
    <x v="248"/>
    <x v="0"/>
    <x v="0"/>
    <n v="14.3"/>
    <n v="14.3"/>
    <x v="10"/>
    <d v="2025-01-12T00:00:00"/>
    <x v="2"/>
    <x v="0"/>
    <x v="0"/>
    <x v="0"/>
    <x v="21"/>
    <x v="3"/>
    <x v="1"/>
    <x v="2"/>
  </r>
  <r>
    <x v="249"/>
    <x v="2"/>
    <x v="13"/>
    <n v="57.6"/>
    <n v="345.6"/>
    <x v="10"/>
    <d v="2025-01-25T00:00:00"/>
    <x v="2"/>
    <x v="0"/>
    <x v="0"/>
    <x v="0"/>
    <x v="21"/>
    <x v="12"/>
    <x v="1"/>
    <x v="2"/>
  </r>
  <r>
    <x v="250"/>
    <x v="2"/>
    <x v="2"/>
    <n v="142.4"/>
    <n v="427.20000000000005"/>
    <x v="10"/>
    <d v="2025-01-13T00:00:00"/>
    <x v="1"/>
    <x v="4"/>
    <x v="1"/>
    <x v="0"/>
    <x v="21"/>
    <x v="1"/>
    <x v="1"/>
    <x v="1"/>
  </r>
  <r>
    <x v="251"/>
    <x v="12"/>
    <x v="0"/>
    <n v="30.2"/>
    <n v="30.2"/>
    <x v="10"/>
    <d v="2025-01-15T00:00:00"/>
    <x v="1"/>
    <x v="1"/>
    <x v="2"/>
    <x v="0"/>
    <x v="2"/>
    <x v="5"/>
    <x v="1"/>
    <x v="1"/>
  </r>
  <r>
    <x v="252"/>
    <x v="18"/>
    <x v="2"/>
    <n v="65.3"/>
    <n v="195.89999999999998"/>
    <x v="10"/>
    <d v="2025-01-12T00:00:00"/>
    <x v="3"/>
    <x v="1"/>
    <x v="0"/>
    <x v="0"/>
    <x v="33"/>
    <x v="3"/>
    <x v="1"/>
    <x v="3"/>
  </r>
  <r>
    <x v="253"/>
    <x v="0"/>
    <x v="1"/>
    <n v="33.4"/>
    <n v="66.8"/>
    <x v="10"/>
    <d v="2025-01-12T00:00:00"/>
    <x v="1"/>
    <x v="1"/>
    <x v="1"/>
    <x v="0"/>
    <x v="22"/>
    <x v="3"/>
    <x v="1"/>
    <x v="1"/>
  </r>
  <r>
    <x v="254"/>
    <x v="7"/>
    <x v="1"/>
    <n v="45.1"/>
    <n v="90.2"/>
    <x v="10"/>
    <d v="2025-01-19T00:00:00"/>
    <x v="1"/>
    <x v="0"/>
    <x v="0"/>
    <x v="0"/>
    <x v="34"/>
    <x v="9"/>
    <x v="1"/>
    <x v="1"/>
  </r>
  <r>
    <x v="255"/>
    <x v="2"/>
    <x v="3"/>
    <n v="61.7"/>
    <n v="431.90000000000003"/>
    <x v="10"/>
    <d v="2025-01-13T00:00:00"/>
    <x v="2"/>
    <x v="4"/>
    <x v="0"/>
    <x v="0"/>
    <x v="3"/>
    <x v="1"/>
    <x v="1"/>
    <x v="2"/>
  </r>
  <r>
    <x v="256"/>
    <x v="9"/>
    <x v="2"/>
    <n v="45.1"/>
    <n v="135.30000000000001"/>
    <x v="11"/>
    <d v="2025-01-13T00:00:00"/>
    <x v="1"/>
    <x v="4"/>
    <x v="1"/>
    <x v="0"/>
    <x v="3"/>
    <x v="3"/>
    <x v="2"/>
    <x v="1"/>
  </r>
  <r>
    <x v="257"/>
    <x v="15"/>
    <x v="9"/>
    <n v="22.7"/>
    <n v="113.5"/>
    <x v="11"/>
    <d v="2025-01-17T00:00:00"/>
    <x v="1"/>
    <x v="0"/>
    <x v="2"/>
    <x v="0"/>
    <x v="35"/>
    <x v="0"/>
    <x v="2"/>
    <x v="1"/>
  </r>
  <r>
    <x v="258"/>
    <x v="8"/>
    <x v="0"/>
    <n v="17.600000000000001"/>
    <n v="17.600000000000001"/>
    <x v="11"/>
    <d v="2025-01-13T00:00:00"/>
    <x v="2"/>
    <x v="0"/>
    <x v="2"/>
    <x v="0"/>
    <x v="23"/>
    <x v="3"/>
    <x v="2"/>
    <x v="2"/>
  </r>
  <r>
    <x v="259"/>
    <x v="14"/>
    <x v="1"/>
    <n v="11.3"/>
    <n v="22.6"/>
    <x v="11"/>
    <d v="2025-01-15T00:00:00"/>
    <x v="2"/>
    <x v="3"/>
    <x v="2"/>
    <x v="0"/>
    <x v="23"/>
    <x v="2"/>
    <x v="2"/>
    <x v="2"/>
  </r>
  <r>
    <x v="260"/>
    <x v="6"/>
    <x v="2"/>
    <n v="53.4"/>
    <n v="160.19999999999999"/>
    <x v="11"/>
    <d v="2025-01-15T00:00:00"/>
    <x v="1"/>
    <x v="3"/>
    <x v="2"/>
    <x v="0"/>
    <x v="36"/>
    <x v="2"/>
    <x v="2"/>
    <x v="1"/>
  </r>
  <r>
    <x v="261"/>
    <x v="6"/>
    <x v="5"/>
    <n v="51.1"/>
    <n v="562.1"/>
    <x v="11"/>
    <d v="2025-01-14T00:00:00"/>
    <x v="2"/>
    <x v="2"/>
    <x v="2"/>
    <x v="0"/>
    <x v="8"/>
    <x v="1"/>
    <x v="2"/>
    <x v="2"/>
  </r>
  <r>
    <x v="262"/>
    <x v="8"/>
    <x v="1"/>
    <n v="27.5"/>
    <n v="55"/>
    <x v="11"/>
    <d v="2025-01-13T00:00:00"/>
    <x v="1"/>
    <x v="4"/>
    <x v="1"/>
    <x v="0"/>
    <x v="8"/>
    <x v="3"/>
    <x v="2"/>
    <x v="1"/>
  </r>
  <r>
    <x v="263"/>
    <x v="9"/>
    <x v="0"/>
    <n v="33.5"/>
    <n v="33.5"/>
    <x v="11"/>
    <d v="2025-01-14T00:00:00"/>
    <x v="2"/>
    <x v="0"/>
    <x v="4"/>
    <x v="0"/>
    <x v="8"/>
    <x v="1"/>
    <x v="2"/>
    <x v="2"/>
  </r>
  <r>
    <x v="264"/>
    <x v="4"/>
    <x v="0"/>
    <n v="59.5"/>
    <n v="59.5"/>
    <x v="11"/>
    <d v="2025-01-12T00:00:00"/>
    <x v="1"/>
    <x v="0"/>
    <x v="2"/>
    <x v="0"/>
    <x v="18"/>
    <x v="7"/>
    <x v="2"/>
    <x v="1"/>
  </r>
  <r>
    <x v="265"/>
    <x v="17"/>
    <x v="12"/>
    <n v="23.5"/>
    <n v="94"/>
    <x v="11"/>
    <d v="2025-01-13T00:00:00"/>
    <x v="2"/>
    <x v="3"/>
    <x v="3"/>
    <x v="0"/>
    <x v="19"/>
    <x v="3"/>
    <x v="2"/>
    <x v="2"/>
  </r>
  <r>
    <x v="266"/>
    <x v="6"/>
    <x v="0"/>
    <n v="49.7"/>
    <n v="49.7"/>
    <x v="11"/>
    <d v="2025-01-13T00:00:00"/>
    <x v="0"/>
    <x v="1"/>
    <x v="2"/>
    <x v="0"/>
    <x v="20"/>
    <x v="3"/>
    <x v="2"/>
    <x v="0"/>
  </r>
  <r>
    <x v="267"/>
    <x v="6"/>
    <x v="12"/>
    <n v="44.2"/>
    <n v="176.8"/>
    <x v="11"/>
    <d v="2025-01-15T00:00:00"/>
    <x v="2"/>
    <x v="0"/>
    <x v="2"/>
    <x v="0"/>
    <x v="21"/>
    <x v="2"/>
    <x v="2"/>
    <x v="2"/>
  </r>
  <r>
    <x v="268"/>
    <x v="8"/>
    <x v="0"/>
    <n v="22.1"/>
    <n v="22.1"/>
    <x v="11"/>
    <d v="2025-01-16T00:00:00"/>
    <x v="2"/>
    <x v="1"/>
    <x v="1"/>
    <x v="0"/>
    <x v="33"/>
    <x v="5"/>
    <x v="2"/>
    <x v="2"/>
  </r>
  <r>
    <x v="269"/>
    <x v="6"/>
    <x v="2"/>
    <n v="90.9"/>
    <n v="272.70000000000005"/>
    <x v="11"/>
    <d v="2025-01-13T00:00:00"/>
    <x v="2"/>
    <x v="2"/>
    <x v="4"/>
    <x v="0"/>
    <x v="3"/>
    <x v="3"/>
    <x v="2"/>
    <x v="2"/>
  </r>
  <r>
    <x v="270"/>
    <x v="8"/>
    <x v="2"/>
    <n v="44.5"/>
    <n v="133.5"/>
    <x v="11"/>
    <d v="2025-01-13T00:00:00"/>
    <x v="2"/>
    <x v="1"/>
    <x v="0"/>
    <x v="0"/>
    <x v="3"/>
    <x v="3"/>
    <x v="2"/>
    <x v="2"/>
  </r>
  <r>
    <x v="271"/>
    <x v="9"/>
    <x v="13"/>
    <n v="32.299999999999997"/>
    <n v="193.79999999999998"/>
    <x v="11"/>
    <d v="2025-01-16T00:00:00"/>
    <x v="2"/>
    <x v="0"/>
    <x v="0"/>
    <x v="0"/>
    <x v="3"/>
    <x v="5"/>
    <x v="2"/>
    <x v="2"/>
  </r>
  <r>
    <x v="272"/>
    <x v="17"/>
    <x v="2"/>
    <n v="87.5"/>
    <n v="262.5"/>
    <x v="11"/>
    <d v="2025-01-13T00:00:00"/>
    <x v="2"/>
    <x v="1"/>
    <x v="1"/>
    <x v="0"/>
    <x v="3"/>
    <x v="3"/>
    <x v="2"/>
    <x v="2"/>
  </r>
  <r>
    <x v="273"/>
    <x v="16"/>
    <x v="9"/>
    <n v="48.7"/>
    <n v="243.5"/>
    <x v="11"/>
    <d v="2025-01-13T00:00:00"/>
    <x v="1"/>
    <x v="2"/>
    <x v="0"/>
    <x v="0"/>
    <x v="3"/>
    <x v="3"/>
    <x v="2"/>
    <x v="1"/>
  </r>
  <r>
    <x v="274"/>
    <x v="0"/>
    <x v="9"/>
    <n v="22.5"/>
    <n v="112.5"/>
    <x v="11"/>
    <d v="2025-01-13T00:00:00"/>
    <x v="1"/>
    <x v="0"/>
    <x v="0"/>
    <x v="0"/>
    <x v="3"/>
    <x v="3"/>
    <x v="2"/>
    <x v="1"/>
  </r>
  <r>
    <x v="275"/>
    <x v="1"/>
    <x v="8"/>
    <n v="65.900000000000006"/>
    <n v="527.20000000000005"/>
    <x v="11"/>
    <d v="2025-01-15T00:00:00"/>
    <x v="2"/>
    <x v="1"/>
    <x v="2"/>
    <x v="0"/>
    <x v="3"/>
    <x v="2"/>
    <x v="2"/>
    <x v="2"/>
  </r>
  <r>
    <x v="276"/>
    <x v="6"/>
    <x v="9"/>
    <n v="41.9"/>
    <n v="209.5"/>
    <x v="11"/>
    <d v="2025-01-19T00:00:00"/>
    <x v="0"/>
    <x v="0"/>
    <x v="0"/>
    <x v="0"/>
    <x v="3"/>
    <x v="6"/>
    <x v="2"/>
    <x v="0"/>
  </r>
  <r>
    <x v="277"/>
    <x v="1"/>
    <x v="9"/>
    <n v="67.5"/>
    <n v="337.5"/>
    <x v="11"/>
    <d v="2025-01-13T00:00:00"/>
    <x v="2"/>
    <x v="0"/>
    <x v="2"/>
    <x v="0"/>
    <x v="3"/>
    <x v="3"/>
    <x v="2"/>
    <x v="2"/>
  </r>
  <r>
    <x v="278"/>
    <x v="9"/>
    <x v="0"/>
    <n v="60.4"/>
    <n v="60.4"/>
    <x v="12"/>
    <d v="2025-01-15T00:00:00"/>
    <x v="2"/>
    <x v="1"/>
    <x v="1"/>
    <x v="0"/>
    <x v="3"/>
    <x v="1"/>
    <x v="2"/>
    <x v="2"/>
  </r>
  <r>
    <x v="279"/>
    <x v="1"/>
    <x v="3"/>
    <n v="30.4"/>
    <n v="212.79999999999998"/>
    <x v="12"/>
    <d v="2025-01-16T00:00:00"/>
    <x v="2"/>
    <x v="4"/>
    <x v="0"/>
    <x v="0"/>
    <x v="3"/>
    <x v="2"/>
    <x v="2"/>
    <x v="2"/>
  </r>
  <r>
    <x v="280"/>
    <x v="14"/>
    <x v="1"/>
    <n v="24.5"/>
    <n v="49"/>
    <x v="12"/>
    <d v="2025-01-14T00:00:00"/>
    <x v="1"/>
    <x v="3"/>
    <x v="2"/>
    <x v="0"/>
    <x v="3"/>
    <x v="3"/>
    <x v="2"/>
    <x v="1"/>
  </r>
  <r>
    <x v="281"/>
    <x v="2"/>
    <x v="2"/>
    <n v="105.9"/>
    <n v="317.70000000000005"/>
    <x v="12"/>
    <d v="2025-01-18T00:00:00"/>
    <x v="1"/>
    <x v="0"/>
    <x v="0"/>
    <x v="0"/>
    <x v="37"/>
    <x v="0"/>
    <x v="2"/>
    <x v="1"/>
  </r>
  <r>
    <x v="282"/>
    <x v="10"/>
    <x v="25"/>
    <n v="25.9"/>
    <n v="621.59999999999991"/>
    <x v="12"/>
    <d v="2025-01-14T00:00:00"/>
    <x v="2"/>
    <x v="4"/>
    <x v="0"/>
    <x v="0"/>
    <x v="23"/>
    <x v="3"/>
    <x v="2"/>
    <x v="2"/>
  </r>
  <r>
    <x v="283"/>
    <x v="6"/>
    <x v="2"/>
    <n v="66.8"/>
    <n v="200.39999999999998"/>
    <x v="12"/>
    <d v="2025-01-13T00:00:00"/>
    <x v="1"/>
    <x v="0"/>
    <x v="0"/>
    <x v="0"/>
    <x v="23"/>
    <x v="7"/>
    <x v="2"/>
    <x v="1"/>
  </r>
  <r>
    <x v="284"/>
    <x v="6"/>
    <x v="2"/>
    <n v="112.3"/>
    <n v="336.9"/>
    <x v="12"/>
    <d v="2025-01-14T00:00:00"/>
    <x v="1"/>
    <x v="2"/>
    <x v="4"/>
    <x v="0"/>
    <x v="6"/>
    <x v="3"/>
    <x v="2"/>
    <x v="1"/>
  </r>
  <r>
    <x v="285"/>
    <x v="1"/>
    <x v="13"/>
    <n v="94.1"/>
    <n v="564.59999999999991"/>
    <x v="12"/>
    <d v="2025-01-14T00:00:00"/>
    <x v="2"/>
    <x v="0"/>
    <x v="4"/>
    <x v="0"/>
    <x v="6"/>
    <x v="3"/>
    <x v="2"/>
    <x v="2"/>
  </r>
  <r>
    <x v="286"/>
    <x v="5"/>
    <x v="0"/>
    <n v="40.700000000000003"/>
    <n v="40.700000000000003"/>
    <x v="12"/>
    <d v="2025-01-16T00:00:00"/>
    <x v="2"/>
    <x v="2"/>
    <x v="0"/>
    <x v="0"/>
    <x v="6"/>
    <x v="2"/>
    <x v="2"/>
    <x v="2"/>
  </r>
  <r>
    <x v="287"/>
    <x v="3"/>
    <x v="1"/>
    <n v="71.400000000000006"/>
    <n v="142.80000000000001"/>
    <x v="12"/>
    <d v="2025-01-14T00:00:00"/>
    <x v="1"/>
    <x v="0"/>
    <x v="0"/>
    <x v="0"/>
    <x v="7"/>
    <x v="3"/>
    <x v="2"/>
    <x v="1"/>
  </r>
  <r>
    <x v="288"/>
    <x v="0"/>
    <x v="16"/>
    <n v="15.6"/>
    <n v="280.8"/>
    <x v="12"/>
    <d v="2025-01-14T00:00:00"/>
    <x v="1"/>
    <x v="1"/>
    <x v="3"/>
    <x v="0"/>
    <x v="8"/>
    <x v="3"/>
    <x v="2"/>
    <x v="1"/>
  </r>
  <r>
    <x v="289"/>
    <x v="10"/>
    <x v="12"/>
    <n v="37.799999999999997"/>
    <n v="151.19999999999999"/>
    <x v="12"/>
    <d v="2025-01-14T00:00:00"/>
    <x v="1"/>
    <x v="2"/>
    <x v="2"/>
    <x v="0"/>
    <x v="8"/>
    <x v="3"/>
    <x v="2"/>
    <x v="1"/>
  </r>
  <r>
    <x v="290"/>
    <x v="4"/>
    <x v="2"/>
    <n v="28.1"/>
    <n v="84.300000000000011"/>
    <x v="12"/>
    <d v="2025-01-17T00:00:00"/>
    <x v="1"/>
    <x v="0"/>
    <x v="0"/>
    <x v="0"/>
    <x v="8"/>
    <x v="5"/>
    <x v="2"/>
    <x v="1"/>
  </r>
  <r>
    <x v="291"/>
    <x v="7"/>
    <x v="13"/>
    <n v="51.4"/>
    <n v="308.39999999999998"/>
    <x v="12"/>
    <d v="2025-01-17T00:00:00"/>
    <x v="1"/>
    <x v="0"/>
    <x v="0"/>
    <x v="0"/>
    <x v="8"/>
    <x v="5"/>
    <x v="2"/>
    <x v="1"/>
  </r>
  <r>
    <x v="292"/>
    <x v="7"/>
    <x v="1"/>
    <n v="97.7"/>
    <n v="195.4"/>
    <x v="12"/>
    <d v="2025-01-15T00:00:00"/>
    <x v="2"/>
    <x v="4"/>
    <x v="2"/>
    <x v="0"/>
    <x v="17"/>
    <x v="1"/>
    <x v="2"/>
    <x v="2"/>
  </r>
  <r>
    <x v="293"/>
    <x v="1"/>
    <x v="12"/>
    <n v="63.8"/>
    <n v="255.2"/>
    <x v="12"/>
    <d v="2025-01-14T00:00:00"/>
    <x v="1"/>
    <x v="2"/>
    <x v="0"/>
    <x v="0"/>
    <x v="38"/>
    <x v="3"/>
    <x v="2"/>
    <x v="1"/>
  </r>
  <r>
    <x v="294"/>
    <x v="13"/>
    <x v="1"/>
    <n v="20.100000000000001"/>
    <n v="40.200000000000003"/>
    <x v="12"/>
    <d v="2025-01-15T00:00:00"/>
    <x v="1"/>
    <x v="0"/>
    <x v="2"/>
    <x v="0"/>
    <x v="20"/>
    <x v="1"/>
    <x v="2"/>
    <x v="1"/>
  </r>
  <r>
    <x v="295"/>
    <x v="11"/>
    <x v="2"/>
    <n v="50.4"/>
    <n v="151.19999999999999"/>
    <x v="12"/>
    <d v="2025-01-16T00:00:00"/>
    <x v="2"/>
    <x v="3"/>
    <x v="0"/>
    <x v="0"/>
    <x v="13"/>
    <x v="2"/>
    <x v="2"/>
    <x v="2"/>
  </r>
  <r>
    <x v="296"/>
    <x v="0"/>
    <x v="0"/>
    <n v="16.2"/>
    <n v="16.2"/>
    <x v="12"/>
    <d v="2025-01-26T00:00:00"/>
    <x v="2"/>
    <x v="1"/>
    <x v="0"/>
    <x v="0"/>
    <x v="1"/>
    <x v="10"/>
    <x v="2"/>
    <x v="2"/>
  </r>
  <r>
    <x v="297"/>
    <x v="6"/>
    <x v="3"/>
    <n v="80.900000000000006"/>
    <n v="566.30000000000007"/>
    <x v="12"/>
    <d v="2025-01-15T00:00:00"/>
    <x v="1"/>
    <x v="4"/>
    <x v="4"/>
    <x v="0"/>
    <x v="2"/>
    <x v="1"/>
    <x v="2"/>
    <x v="1"/>
  </r>
  <r>
    <x v="298"/>
    <x v="9"/>
    <x v="13"/>
    <n v="95.2"/>
    <n v="571.20000000000005"/>
    <x v="12"/>
    <d v="2025-01-15T00:00:00"/>
    <x v="2"/>
    <x v="0"/>
    <x v="2"/>
    <x v="0"/>
    <x v="2"/>
    <x v="1"/>
    <x v="2"/>
    <x v="2"/>
  </r>
  <r>
    <x v="299"/>
    <x v="5"/>
    <x v="8"/>
    <n v="70.400000000000006"/>
    <n v="563.20000000000005"/>
    <x v="12"/>
    <d v="2025-01-14T00:00:00"/>
    <x v="1"/>
    <x v="1"/>
    <x v="1"/>
    <x v="0"/>
    <x v="3"/>
    <x v="3"/>
    <x v="2"/>
    <x v="1"/>
  </r>
  <r>
    <x v="300"/>
    <x v="0"/>
    <x v="9"/>
    <n v="10.7"/>
    <n v="53.5"/>
    <x v="12"/>
    <d v="2025-01-17T00:00:00"/>
    <x v="2"/>
    <x v="2"/>
    <x v="0"/>
    <x v="0"/>
    <x v="3"/>
    <x v="5"/>
    <x v="2"/>
    <x v="2"/>
  </r>
  <r>
    <x v="301"/>
    <x v="8"/>
    <x v="9"/>
    <n v="19.600000000000001"/>
    <n v="98"/>
    <x v="12"/>
    <d v="2025-01-15T00:00:00"/>
    <x v="2"/>
    <x v="0"/>
    <x v="3"/>
    <x v="0"/>
    <x v="3"/>
    <x v="1"/>
    <x v="2"/>
    <x v="2"/>
  </r>
  <r>
    <x v="302"/>
    <x v="8"/>
    <x v="5"/>
    <n v="34.700000000000003"/>
    <n v="381.70000000000005"/>
    <x v="12"/>
    <d v="2025-01-15T00:00:00"/>
    <x v="2"/>
    <x v="0"/>
    <x v="2"/>
    <x v="0"/>
    <x v="3"/>
    <x v="1"/>
    <x v="2"/>
    <x v="2"/>
  </r>
  <r>
    <x v="303"/>
    <x v="10"/>
    <x v="11"/>
    <n v="34.1"/>
    <n v="306.90000000000003"/>
    <x v="12"/>
    <d v="2025-01-14T00:00:00"/>
    <x v="2"/>
    <x v="4"/>
    <x v="1"/>
    <x v="0"/>
    <x v="3"/>
    <x v="3"/>
    <x v="2"/>
    <x v="2"/>
  </r>
  <r>
    <x v="304"/>
    <x v="0"/>
    <x v="26"/>
    <n v="29.3"/>
    <n v="1435.7"/>
    <x v="12"/>
    <d v="2025-01-13T00:00:00"/>
    <x v="1"/>
    <x v="0"/>
    <x v="1"/>
    <x v="0"/>
    <x v="3"/>
    <x v="7"/>
    <x v="2"/>
    <x v="1"/>
  </r>
  <r>
    <x v="305"/>
    <x v="1"/>
    <x v="0"/>
    <n v="55.2"/>
    <n v="55.2"/>
    <x v="12"/>
    <d v="2025-01-14T00:00:00"/>
    <x v="2"/>
    <x v="0"/>
    <x v="1"/>
    <x v="0"/>
    <x v="3"/>
    <x v="3"/>
    <x v="2"/>
    <x v="2"/>
  </r>
  <r>
    <x v="306"/>
    <x v="18"/>
    <x v="2"/>
    <n v="26"/>
    <n v="78"/>
    <x v="12"/>
    <d v="2025-01-16T00:00:00"/>
    <x v="2"/>
    <x v="0"/>
    <x v="2"/>
    <x v="0"/>
    <x v="3"/>
    <x v="2"/>
    <x v="2"/>
    <x v="2"/>
  </r>
  <r>
    <x v="307"/>
    <x v="14"/>
    <x v="1"/>
    <n v="14.2"/>
    <n v="28.4"/>
    <x v="12"/>
    <d v="2025-01-18T00:00:00"/>
    <x v="2"/>
    <x v="3"/>
    <x v="0"/>
    <x v="0"/>
    <x v="39"/>
    <x v="0"/>
    <x v="2"/>
    <x v="2"/>
  </r>
  <r>
    <x v="308"/>
    <x v="8"/>
    <x v="11"/>
    <n v="22.7"/>
    <n v="204.29999999999998"/>
    <x v="13"/>
    <d v="2025-01-15T00:00:00"/>
    <x v="1"/>
    <x v="1"/>
    <x v="0"/>
    <x v="0"/>
    <x v="6"/>
    <x v="3"/>
    <x v="2"/>
    <x v="1"/>
  </r>
  <r>
    <x v="309"/>
    <x v="0"/>
    <x v="20"/>
    <n v="19.8"/>
    <n v="297"/>
    <x v="13"/>
    <d v="2025-01-14T00:00:00"/>
    <x v="2"/>
    <x v="0"/>
    <x v="2"/>
    <x v="0"/>
    <x v="6"/>
    <x v="7"/>
    <x v="2"/>
    <x v="2"/>
  </r>
  <r>
    <x v="310"/>
    <x v="0"/>
    <x v="2"/>
    <n v="31.7"/>
    <n v="95.1"/>
    <x v="13"/>
    <d v="2025-01-15T00:00:00"/>
    <x v="1"/>
    <x v="2"/>
    <x v="0"/>
    <x v="0"/>
    <x v="6"/>
    <x v="3"/>
    <x v="2"/>
    <x v="1"/>
  </r>
  <r>
    <x v="311"/>
    <x v="8"/>
    <x v="12"/>
    <n v="30.4"/>
    <n v="121.6"/>
    <x v="13"/>
    <d v="2025-01-18T00:00:00"/>
    <x v="1"/>
    <x v="0"/>
    <x v="0"/>
    <x v="0"/>
    <x v="6"/>
    <x v="5"/>
    <x v="2"/>
    <x v="1"/>
  </r>
  <r>
    <x v="312"/>
    <x v="0"/>
    <x v="12"/>
    <n v="25.6"/>
    <n v="102.4"/>
    <x v="13"/>
    <d v="2025-01-15T00:00:00"/>
    <x v="1"/>
    <x v="3"/>
    <x v="0"/>
    <x v="0"/>
    <x v="8"/>
    <x v="3"/>
    <x v="2"/>
    <x v="1"/>
  </r>
  <r>
    <x v="313"/>
    <x v="5"/>
    <x v="1"/>
    <n v="34.9"/>
    <n v="69.8"/>
    <x v="13"/>
    <d v="2025-01-15T00:00:00"/>
    <x v="2"/>
    <x v="2"/>
    <x v="0"/>
    <x v="0"/>
    <x v="9"/>
    <x v="3"/>
    <x v="2"/>
    <x v="2"/>
  </r>
  <r>
    <x v="314"/>
    <x v="7"/>
    <x v="13"/>
    <n v="42.7"/>
    <n v="256.20000000000005"/>
    <x v="13"/>
    <d v="2025-01-17T00:00:00"/>
    <x v="1"/>
    <x v="2"/>
    <x v="1"/>
    <x v="0"/>
    <x v="11"/>
    <x v="2"/>
    <x v="2"/>
    <x v="1"/>
  </r>
  <r>
    <x v="315"/>
    <x v="8"/>
    <x v="0"/>
    <n v="23.9"/>
    <n v="23.9"/>
    <x v="13"/>
    <d v="2025-01-16T00:00:00"/>
    <x v="2"/>
    <x v="3"/>
    <x v="0"/>
    <x v="0"/>
    <x v="11"/>
    <x v="1"/>
    <x v="2"/>
    <x v="2"/>
  </r>
  <r>
    <x v="316"/>
    <x v="6"/>
    <x v="0"/>
    <n v="124.3"/>
    <n v="124.3"/>
    <x v="13"/>
    <d v="2025-01-15T00:00:00"/>
    <x v="0"/>
    <x v="2"/>
    <x v="1"/>
    <x v="0"/>
    <x v="21"/>
    <x v="3"/>
    <x v="2"/>
    <x v="0"/>
  </r>
  <r>
    <x v="317"/>
    <x v="8"/>
    <x v="13"/>
    <n v="35.9"/>
    <n v="215.39999999999998"/>
    <x v="13"/>
    <d v="2025-01-15T00:00:00"/>
    <x v="2"/>
    <x v="0"/>
    <x v="1"/>
    <x v="0"/>
    <x v="1"/>
    <x v="3"/>
    <x v="2"/>
    <x v="2"/>
  </r>
  <r>
    <x v="318"/>
    <x v="2"/>
    <x v="1"/>
    <n v="69.099999999999994"/>
    <n v="138.19999999999999"/>
    <x v="13"/>
    <d v="2025-01-17T00:00:00"/>
    <x v="2"/>
    <x v="0"/>
    <x v="2"/>
    <x v="0"/>
    <x v="22"/>
    <x v="2"/>
    <x v="2"/>
    <x v="2"/>
  </r>
  <r>
    <x v="319"/>
    <x v="7"/>
    <x v="0"/>
    <n v="58.4"/>
    <n v="58.4"/>
    <x v="13"/>
    <d v="2025-01-18T00:00:00"/>
    <x v="1"/>
    <x v="0"/>
    <x v="0"/>
    <x v="0"/>
    <x v="22"/>
    <x v="5"/>
    <x v="2"/>
    <x v="1"/>
  </r>
  <r>
    <x v="320"/>
    <x v="5"/>
    <x v="0"/>
    <n v="65.2"/>
    <n v="65.2"/>
    <x v="13"/>
    <d v="2025-01-16T00:00:00"/>
    <x v="3"/>
    <x v="4"/>
    <x v="4"/>
    <x v="0"/>
    <x v="3"/>
    <x v="1"/>
    <x v="2"/>
    <x v="3"/>
  </r>
  <r>
    <x v="321"/>
    <x v="8"/>
    <x v="14"/>
    <n v="32.700000000000003"/>
    <n v="555.90000000000009"/>
    <x v="13"/>
    <d v="2025-01-21T00:00:00"/>
    <x v="0"/>
    <x v="4"/>
    <x v="0"/>
    <x v="0"/>
    <x v="3"/>
    <x v="6"/>
    <x v="2"/>
    <x v="0"/>
  </r>
  <r>
    <x v="322"/>
    <x v="10"/>
    <x v="3"/>
    <n v="24.4"/>
    <n v="170.79999999999998"/>
    <x v="13"/>
    <d v="2025-01-15T00:00:00"/>
    <x v="2"/>
    <x v="0"/>
    <x v="0"/>
    <x v="0"/>
    <x v="3"/>
    <x v="3"/>
    <x v="2"/>
    <x v="2"/>
  </r>
  <r>
    <x v="323"/>
    <x v="14"/>
    <x v="1"/>
    <n v="50.4"/>
    <n v="100.8"/>
    <x v="13"/>
    <d v="2025-01-20T00:00:00"/>
    <x v="1"/>
    <x v="0"/>
    <x v="1"/>
    <x v="0"/>
    <x v="3"/>
    <x v="4"/>
    <x v="2"/>
    <x v="1"/>
  </r>
  <r>
    <x v="324"/>
    <x v="1"/>
    <x v="1"/>
    <n v="100"/>
    <n v="200"/>
    <x v="13"/>
    <d v="2025-01-15T00:00:00"/>
    <x v="2"/>
    <x v="0"/>
    <x v="0"/>
    <x v="0"/>
    <x v="3"/>
    <x v="3"/>
    <x v="2"/>
    <x v="2"/>
  </r>
  <r>
    <x v="325"/>
    <x v="10"/>
    <x v="2"/>
    <n v="43"/>
    <n v="129"/>
    <x v="14"/>
    <d v="2025-01-15T00:00:00"/>
    <x v="2"/>
    <x v="2"/>
    <x v="1"/>
    <x v="0"/>
    <x v="3"/>
    <x v="7"/>
    <x v="2"/>
    <x v="2"/>
  </r>
  <r>
    <x v="326"/>
    <x v="1"/>
    <x v="9"/>
    <n v="64.400000000000006"/>
    <n v="322"/>
    <x v="14"/>
    <d v="2025-01-17T00:00:00"/>
    <x v="1"/>
    <x v="2"/>
    <x v="1"/>
    <x v="0"/>
    <x v="3"/>
    <x v="1"/>
    <x v="2"/>
    <x v="1"/>
  </r>
  <r>
    <x v="327"/>
    <x v="18"/>
    <x v="1"/>
    <n v="57.4"/>
    <n v="114.8"/>
    <x v="14"/>
    <d v="2025-01-16T00:00:00"/>
    <x v="1"/>
    <x v="2"/>
    <x v="1"/>
    <x v="0"/>
    <x v="3"/>
    <x v="3"/>
    <x v="2"/>
    <x v="1"/>
  </r>
  <r>
    <x v="328"/>
    <x v="2"/>
    <x v="2"/>
    <n v="55.1"/>
    <n v="165.3"/>
    <x v="14"/>
    <d v="2025-01-18T00:00:00"/>
    <x v="2"/>
    <x v="1"/>
    <x v="0"/>
    <x v="0"/>
    <x v="3"/>
    <x v="2"/>
    <x v="2"/>
    <x v="2"/>
  </r>
  <r>
    <x v="329"/>
    <x v="7"/>
    <x v="12"/>
    <n v="45.4"/>
    <n v="181.6"/>
    <x v="14"/>
    <d v="2025-01-16T00:00:00"/>
    <x v="2"/>
    <x v="1"/>
    <x v="0"/>
    <x v="0"/>
    <x v="3"/>
    <x v="3"/>
    <x v="2"/>
    <x v="2"/>
  </r>
  <r>
    <x v="330"/>
    <x v="3"/>
    <x v="2"/>
    <n v="93.3"/>
    <n v="279.89999999999998"/>
    <x v="14"/>
    <d v="2025-01-16T00:00:00"/>
    <x v="2"/>
    <x v="0"/>
    <x v="0"/>
    <x v="0"/>
    <x v="40"/>
    <x v="3"/>
    <x v="2"/>
    <x v="2"/>
  </r>
  <r>
    <x v="331"/>
    <x v="2"/>
    <x v="10"/>
    <n v="158.19999999999999"/>
    <n v="3005.7999999999997"/>
    <x v="14"/>
    <d v="2025-01-16T00:00:00"/>
    <x v="2"/>
    <x v="1"/>
    <x v="2"/>
    <x v="0"/>
    <x v="16"/>
    <x v="3"/>
    <x v="2"/>
    <x v="2"/>
  </r>
  <r>
    <x v="332"/>
    <x v="2"/>
    <x v="1"/>
    <n v="74.900000000000006"/>
    <n v="149.80000000000001"/>
    <x v="14"/>
    <d v="2025-01-17T00:00:00"/>
    <x v="1"/>
    <x v="3"/>
    <x v="0"/>
    <x v="0"/>
    <x v="6"/>
    <x v="1"/>
    <x v="2"/>
    <x v="1"/>
  </r>
  <r>
    <x v="333"/>
    <x v="8"/>
    <x v="3"/>
    <n v="26"/>
    <n v="182"/>
    <x v="14"/>
    <d v="2025-01-18T00:00:00"/>
    <x v="2"/>
    <x v="1"/>
    <x v="0"/>
    <x v="0"/>
    <x v="8"/>
    <x v="2"/>
    <x v="2"/>
    <x v="2"/>
  </r>
  <r>
    <x v="334"/>
    <x v="9"/>
    <x v="13"/>
    <n v="37.5"/>
    <n v="225"/>
    <x v="14"/>
    <d v="2025-01-16T00:00:00"/>
    <x v="2"/>
    <x v="0"/>
    <x v="1"/>
    <x v="0"/>
    <x v="8"/>
    <x v="3"/>
    <x v="2"/>
    <x v="2"/>
  </r>
  <r>
    <x v="335"/>
    <x v="6"/>
    <x v="1"/>
    <n v="75.8"/>
    <n v="151.6"/>
    <x v="14"/>
    <d v="2025-01-21T00:00:00"/>
    <x v="1"/>
    <x v="0"/>
    <x v="0"/>
    <x v="0"/>
    <x v="8"/>
    <x v="4"/>
    <x v="2"/>
    <x v="1"/>
  </r>
  <r>
    <x v="336"/>
    <x v="7"/>
    <x v="0"/>
    <n v="48.5"/>
    <n v="48.5"/>
    <x v="14"/>
    <d v="2025-01-27T00:00:00"/>
    <x v="0"/>
    <x v="4"/>
    <x v="2"/>
    <x v="0"/>
    <x v="8"/>
    <x v="13"/>
    <x v="2"/>
    <x v="0"/>
  </r>
  <r>
    <x v="337"/>
    <x v="6"/>
    <x v="2"/>
    <n v="98.9"/>
    <n v="296.70000000000005"/>
    <x v="14"/>
    <d v="2025-01-17T00:00:00"/>
    <x v="2"/>
    <x v="4"/>
    <x v="1"/>
    <x v="0"/>
    <x v="8"/>
    <x v="1"/>
    <x v="2"/>
    <x v="2"/>
  </r>
  <r>
    <x v="338"/>
    <x v="1"/>
    <x v="4"/>
    <n v="50.9"/>
    <n v="610.79999999999995"/>
    <x v="14"/>
    <d v="2025-01-15T00:00:00"/>
    <x v="1"/>
    <x v="4"/>
    <x v="0"/>
    <x v="0"/>
    <x v="8"/>
    <x v="7"/>
    <x v="2"/>
    <x v="1"/>
  </r>
  <r>
    <x v="339"/>
    <x v="12"/>
    <x v="13"/>
    <n v="84.7"/>
    <n v="508.20000000000005"/>
    <x v="14"/>
    <d v="2025-01-15T00:00:00"/>
    <x v="2"/>
    <x v="2"/>
    <x v="0"/>
    <x v="0"/>
    <x v="8"/>
    <x v="7"/>
    <x v="2"/>
    <x v="2"/>
  </r>
  <r>
    <x v="340"/>
    <x v="8"/>
    <x v="0"/>
    <n v="20.7"/>
    <n v="20.7"/>
    <x v="14"/>
    <d v="2025-01-17T00:00:00"/>
    <x v="2"/>
    <x v="3"/>
    <x v="2"/>
    <x v="0"/>
    <x v="8"/>
    <x v="1"/>
    <x v="2"/>
    <x v="2"/>
  </r>
  <r>
    <x v="341"/>
    <x v="12"/>
    <x v="11"/>
    <n v="57.8"/>
    <n v="520.19999999999993"/>
    <x v="14"/>
    <d v="2025-01-26T00:00:00"/>
    <x v="1"/>
    <x v="0"/>
    <x v="4"/>
    <x v="0"/>
    <x v="17"/>
    <x v="11"/>
    <x v="2"/>
    <x v="1"/>
  </r>
  <r>
    <x v="342"/>
    <x v="2"/>
    <x v="1"/>
    <n v="106.9"/>
    <n v="213.8"/>
    <x v="14"/>
    <d v="2025-01-17T00:00:00"/>
    <x v="2"/>
    <x v="0"/>
    <x v="2"/>
    <x v="0"/>
    <x v="41"/>
    <x v="1"/>
    <x v="2"/>
    <x v="2"/>
  </r>
  <r>
    <x v="343"/>
    <x v="3"/>
    <x v="9"/>
    <n v="45.2"/>
    <n v="226"/>
    <x v="14"/>
    <d v="2025-01-19T00:00:00"/>
    <x v="2"/>
    <x v="1"/>
    <x v="0"/>
    <x v="0"/>
    <x v="21"/>
    <x v="5"/>
    <x v="2"/>
    <x v="2"/>
  </r>
  <r>
    <x v="344"/>
    <x v="8"/>
    <x v="15"/>
    <n v="34.6"/>
    <n v="449.8"/>
    <x v="14"/>
    <d v="2025-01-15T00:00:00"/>
    <x v="2"/>
    <x v="1"/>
    <x v="1"/>
    <x v="0"/>
    <x v="21"/>
    <x v="7"/>
    <x v="2"/>
    <x v="2"/>
  </r>
  <r>
    <x v="345"/>
    <x v="15"/>
    <x v="0"/>
    <n v="43.8"/>
    <n v="43.8"/>
    <x v="14"/>
    <d v="2025-01-17T00:00:00"/>
    <x v="0"/>
    <x v="0"/>
    <x v="2"/>
    <x v="0"/>
    <x v="21"/>
    <x v="1"/>
    <x v="2"/>
    <x v="0"/>
  </r>
  <r>
    <x v="346"/>
    <x v="15"/>
    <x v="0"/>
    <n v="20.399999999999999"/>
    <n v="20.399999999999999"/>
    <x v="14"/>
    <d v="2025-01-17T00:00:00"/>
    <x v="1"/>
    <x v="4"/>
    <x v="1"/>
    <x v="0"/>
    <x v="21"/>
    <x v="1"/>
    <x v="2"/>
    <x v="1"/>
  </r>
  <r>
    <x v="347"/>
    <x v="1"/>
    <x v="0"/>
    <n v="36.700000000000003"/>
    <n v="36.700000000000003"/>
    <x v="14"/>
    <d v="2025-01-16T00:00:00"/>
    <x v="1"/>
    <x v="0"/>
    <x v="1"/>
    <x v="0"/>
    <x v="1"/>
    <x v="3"/>
    <x v="2"/>
    <x v="1"/>
  </r>
  <r>
    <x v="348"/>
    <x v="8"/>
    <x v="2"/>
    <n v="27.2"/>
    <n v="81.599999999999994"/>
    <x v="14"/>
    <d v="2025-01-19T00:00:00"/>
    <x v="1"/>
    <x v="0"/>
    <x v="2"/>
    <x v="0"/>
    <x v="1"/>
    <x v="5"/>
    <x v="2"/>
    <x v="1"/>
  </r>
  <r>
    <x v="349"/>
    <x v="6"/>
    <x v="0"/>
    <n v="58.2"/>
    <n v="58.2"/>
    <x v="14"/>
    <d v="2025-01-16T00:00:00"/>
    <x v="2"/>
    <x v="0"/>
    <x v="2"/>
    <x v="0"/>
    <x v="42"/>
    <x v="3"/>
    <x v="2"/>
    <x v="2"/>
  </r>
  <r>
    <x v="350"/>
    <x v="8"/>
    <x v="2"/>
    <n v="25.6"/>
    <n v="76.800000000000011"/>
    <x v="14"/>
    <d v="2025-01-16T00:00:00"/>
    <x v="1"/>
    <x v="4"/>
    <x v="4"/>
    <x v="0"/>
    <x v="2"/>
    <x v="3"/>
    <x v="2"/>
    <x v="1"/>
  </r>
  <r>
    <x v="351"/>
    <x v="10"/>
    <x v="0"/>
    <n v="21.2"/>
    <n v="21.2"/>
    <x v="14"/>
    <d v="2025-01-15T00:00:00"/>
    <x v="2"/>
    <x v="1"/>
    <x v="2"/>
    <x v="0"/>
    <x v="3"/>
    <x v="7"/>
    <x v="2"/>
    <x v="2"/>
  </r>
  <r>
    <x v="352"/>
    <x v="6"/>
    <x v="1"/>
    <n v="48.2"/>
    <n v="96.4"/>
    <x v="14"/>
    <d v="2025-01-23T00:00:00"/>
    <x v="2"/>
    <x v="0"/>
    <x v="2"/>
    <x v="0"/>
    <x v="3"/>
    <x v="9"/>
    <x v="2"/>
    <x v="2"/>
  </r>
  <r>
    <x v="353"/>
    <x v="1"/>
    <x v="12"/>
    <n v="83.4"/>
    <n v="333.6"/>
    <x v="15"/>
    <d v="2025-01-17T00:00:00"/>
    <x v="1"/>
    <x v="0"/>
    <x v="0"/>
    <x v="0"/>
    <x v="3"/>
    <x v="3"/>
    <x v="2"/>
    <x v="1"/>
  </r>
  <r>
    <x v="354"/>
    <x v="9"/>
    <x v="2"/>
    <n v="45.3"/>
    <n v="135.89999999999998"/>
    <x v="15"/>
    <d v="2025-01-22T00:00:00"/>
    <x v="1"/>
    <x v="2"/>
    <x v="1"/>
    <x v="0"/>
    <x v="3"/>
    <x v="4"/>
    <x v="2"/>
    <x v="1"/>
  </r>
  <r>
    <x v="355"/>
    <x v="17"/>
    <x v="0"/>
    <n v="42"/>
    <n v="42"/>
    <x v="15"/>
    <d v="2025-01-17T00:00:00"/>
    <x v="0"/>
    <x v="0"/>
    <x v="0"/>
    <x v="0"/>
    <x v="3"/>
    <x v="3"/>
    <x v="2"/>
    <x v="0"/>
  </r>
  <r>
    <x v="356"/>
    <x v="0"/>
    <x v="11"/>
    <n v="21.8"/>
    <n v="196.20000000000002"/>
    <x v="15"/>
    <d v="2025-01-18T00:00:00"/>
    <x v="2"/>
    <x v="1"/>
    <x v="0"/>
    <x v="0"/>
    <x v="3"/>
    <x v="1"/>
    <x v="2"/>
    <x v="2"/>
  </r>
  <r>
    <x v="357"/>
    <x v="8"/>
    <x v="16"/>
    <n v="21.4"/>
    <n v="385.2"/>
    <x v="15"/>
    <d v="2025-01-19T00:00:00"/>
    <x v="2"/>
    <x v="1"/>
    <x v="2"/>
    <x v="0"/>
    <x v="3"/>
    <x v="2"/>
    <x v="2"/>
    <x v="2"/>
  </r>
  <r>
    <x v="358"/>
    <x v="10"/>
    <x v="2"/>
    <n v="45"/>
    <n v="135"/>
    <x v="15"/>
    <d v="2025-01-16T00:00:00"/>
    <x v="2"/>
    <x v="1"/>
    <x v="2"/>
    <x v="0"/>
    <x v="3"/>
    <x v="7"/>
    <x v="2"/>
    <x v="2"/>
  </r>
  <r>
    <x v="359"/>
    <x v="14"/>
    <x v="0"/>
    <n v="39.6"/>
    <n v="39.6"/>
    <x v="15"/>
    <d v="2025-01-17T00:00:00"/>
    <x v="1"/>
    <x v="0"/>
    <x v="2"/>
    <x v="0"/>
    <x v="3"/>
    <x v="3"/>
    <x v="2"/>
    <x v="1"/>
  </r>
  <r>
    <x v="360"/>
    <x v="12"/>
    <x v="2"/>
    <n v="79.8"/>
    <n v="239.39999999999998"/>
    <x v="15"/>
    <d v="2025-01-22T00:00:00"/>
    <x v="2"/>
    <x v="1"/>
    <x v="4"/>
    <x v="0"/>
    <x v="3"/>
    <x v="4"/>
    <x v="2"/>
    <x v="2"/>
  </r>
  <r>
    <x v="361"/>
    <x v="1"/>
    <x v="12"/>
    <n v="63.6"/>
    <n v="254.4"/>
    <x v="15"/>
    <d v="2025-01-17T00:00:00"/>
    <x v="3"/>
    <x v="0"/>
    <x v="2"/>
    <x v="0"/>
    <x v="24"/>
    <x v="3"/>
    <x v="2"/>
    <x v="3"/>
  </r>
  <r>
    <x v="362"/>
    <x v="7"/>
    <x v="7"/>
    <n v="92.7"/>
    <n v="927"/>
    <x v="15"/>
    <d v="2025-01-20T00:00:00"/>
    <x v="1"/>
    <x v="1"/>
    <x v="2"/>
    <x v="0"/>
    <x v="6"/>
    <x v="5"/>
    <x v="2"/>
    <x v="1"/>
  </r>
  <r>
    <x v="363"/>
    <x v="1"/>
    <x v="12"/>
    <n v="48.4"/>
    <n v="193.6"/>
    <x v="15"/>
    <d v="2025-01-18T00:00:00"/>
    <x v="2"/>
    <x v="1"/>
    <x v="2"/>
    <x v="0"/>
    <x v="6"/>
    <x v="1"/>
    <x v="2"/>
    <x v="2"/>
  </r>
  <r>
    <x v="364"/>
    <x v="9"/>
    <x v="8"/>
    <n v="36"/>
    <n v="288"/>
    <x v="15"/>
    <d v="2025-01-19T00:00:00"/>
    <x v="1"/>
    <x v="2"/>
    <x v="2"/>
    <x v="0"/>
    <x v="8"/>
    <x v="2"/>
    <x v="2"/>
    <x v="1"/>
  </r>
  <r>
    <x v="365"/>
    <x v="8"/>
    <x v="4"/>
    <n v="27"/>
    <n v="324"/>
    <x v="15"/>
    <d v="2025-01-18T00:00:00"/>
    <x v="2"/>
    <x v="2"/>
    <x v="1"/>
    <x v="0"/>
    <x v="8"/>
    <x v="1"/>
    <x v="2"/>
    <x v="2"/>
  </r>
  <r>
    <x v="366"/>
    <x v="2"/>
    <x v="8"/>
    <n v="53.9"/>
    <n v="431.2"/>
    <x v="15"/>
    <d v="2025-01-17T00:00:00"/>
    <x v="0"/>
    <x v="0"/>
    <x v="0"/>
    <x v="0"/>
    <x v="8"/>
    <x v="3"/>
    <x v="2"/>
    <x v="0"/>
  </r>
  <r>
    <x v="367"/>
    <x v="3"/>
    <x v="11"/>
    <n v="48.4"/>
    <n v="435.59999999999997"/>
    <x v="15"/>
    <d v="2025-01-17T00:00:00"/>
    <x v="2"/>
    <x v="1"/>
    <x v="0"/>
    <x v="0"/>
    <x v="9"/>
    <x v="3"/>
    <x v="2"/>
    <x v="2"/>
  </r>
  <r>
    <x v="368"/>
    <x v="17"/>
    <x v="1"/>
    <n v="49.9"/>
    <n v="99.8"/>
    <x v="15"/>
    <d v="2025-01-21T00:00:00"/>
    <x v="1"/>
    <x v="4"/>
    <x v="4"/>
    <x v="0"/>
    <x v="10"/>
    <x v="0"/>
    <x v="2"/>
    <x v="1"/>
  </r>
  <r>
    <x v="369"/>
    <x v="1"/>
    <x v="2"/>
    <n v="51.7"/>
    <n v="155.10000000000002"/>
    <x v="15"/>
    <d v="2025-01-17T00:00:00"/>
    <x v="2"/>
    <x v="0"/>
    <x v="2"/>
    <x v="0"/>
    <x v="11"/>
    <x v="3"/>
    <x v="2"/>
    <x v="2"/>
  </r>
  <r>
    <x v="370"/>
    <x v="8"/>
    <x v="2"/>
    <n v="41.8"/>
    <n v="125.39999999999999"/>
    <x v="15"/>
    <d v="2025-01-18T00:00:00"/>
    <x v="2"/>
    <x v="2"/>
    <x v="0"/>
    <x v="0"/>
    <x v="18"/>
    <x v="1"/>
    <x v="2"/>
    <x v="2"/>
  </r>
  <r>
    <x v="371"/>
    <x v="4"/>
    <x v="12"/>
    <n v="36.200000000000003"/>
    <n v="144.80000000000001"/>
    <x v="16"/>
    <d v="2025-01-18T00:00:00"/>
    <x v="1"/>
    <x v="2"/>
    <x v="2"/>
    <x v="0"/>
    <x v="21"/>
    <x v="3"/>
    <x v="2"/>
    <x v="1"/>
  </r>
  <r>
    <x v="372"/>
    <x v="2"/>
    <x v="0"/>
    <n v="150.9"/>
    <n v="150.9"/>
    <x v="16"/>
    <d v="2025-01-27T00:00:00"/>
    <x v="1"/>
    <x v="0"/>
    <x v="0"/>
    <x v="0"/>
    <x v="1"/>
    <x v="14"/>
    <x v="2"/>
    <x v="1"/>
  </r>
  <r>
    <x v="373"/>
    <x v="18"/>
    <x v="12"/>
    <n v="77.599999999999994"/>
    <n v="310.39999999999998"/>
    <x v="16"/>
    <d v="2025-01-18T00:00:00"/>
    <x v="0"/>
    <x v="2"/>
    <x v="0"/>
    <x v="0"/>
    <x v="3"/>
    <x v="3"/>
    <x v="2"/>
    <x v="0"/>
  </r>
  <r>
    <x v="374"/>
    <x v="13"/>
    <x v="9"/>
    <n v="65.5"/>
    <n v="327.5"/>
    <x v="16"/>
    <d v="2025-01-17T00:00:00"/>
    <x v="1"/>
    <x v="1"/>
    <x v="0"/>
    <x v="0"/>
    <x v="3"/>
    <x v="7"/>
    <x v="2"/>
    <x v="1"/>
  </r>
  <r>
    <x v="375"/>
    <x v="6"/>
    <x v="2"/>
    <n v="90.1"/>
    <n v="270.29999999999995"/>
    <x v="16"/>
    <d v="2025-01-19T00:00:00"/>
    <x v="2"/>
    <x v="0"/>
    <x v="0"/>
    <x v="0"/>
    <x v="3"/>
    <x v="1"/>
    <x v="2"/>
    <x v="2"/>
  </r>
  <r>
    <x v="376"/>
    <x v="1"/>
    <x v="1"/>
    <n v="108.3"/>
    <n v="216.6"/>
    <x v="16"/>
    <d v="2025-01-20T00:00:00"/>
    <x v="3"/>
    <x v="4"/>
    <x v="0"/>
    <x v="0"/>
    <x v="3"/>
    <x v="2"/>
    <x v="2"/>
    <x v="3"/>
  </r>
  <r>
    <x v="377"/>
    <x v="5"/>
    <x v="2"/>
    <n v="59.9"/>
    <n v="179.7"/>
    <x v="16"/>
    <d v="2025-01-21T00:00:00"/>
    <x v="2"/>
    <x v="0"/>
    <x v="0"/>
    <x v="0"/>
    <x v="3"/>
    <x v="5"/>
    <x v="2"/>
    <x v="2"/>
  </r>
  <r>
    <x v="378"/>
    <x v="2"/>
    <x v="14"/>
    <n v="139"/>
    <n v="2363"/>
    <x v="16"/>
    <d v="2025-01-19T00:00:00"/>
    <x v="2"/>
    <x v="1"/>
    <x v="4"/>
    <x v="0"/>
    <x v="3"/>
    <x v="1"/>
    <x v="2"/>
    <x v="2"/>
  </r>
  <r>
    <x v="379"/>
    <x v="6"/>
    <x v="2"/>
    <n v="87.3"/>
    <n v="261.89999999999998"/>
    <x v="16"/>
    <d v="2025-01-18T00:00:00"/>
    <x v="2"/>
    <x v="0"/>
    <x v="0"/>
    <x v="0"/>
    <x v="3"/>
    <x v="3"/>
    <x v="2"/>
    <x v="2"/>
  </r>
  <r>
    <x v="380"/>
    <x v="11"/>
    <x v="12"/>
    <n v="42.3"/>
    <n v="169.2"/>
    <x v="16"/>
    <d v="2025-01-17T00:00:00"/>
    <x v="1"/>
    <x v="0"/>
    <x v="0"/>
    <x v="0"/>
    <x v="3"/>
    <x v="7"/>
    <x v="2"/>
    <x v="1"/>
  </r>
  <r>
    <x v="381"/>
    <x v="14"/>
    <x v="8"/>
    <n v="103.6"/>
    <n v="828.8"/>
    <x v="16"/>
    <d v="2025-01-18T00:00:00"/>
    <x v="3"/>
    <x v="0"/>
    <x v="1"/>
    <x v="0"/>
    <x v="3"/>
    <x v="3"/>
    <x v="2"/>
    <x v="3"/>
  </r>
  <r>
    <x v="382"/>
    <x v="6"/>
    <x v="1"/>
    <n v="90.9"/>
    <n v="181.8"/>
    <x v="16"/>
    <d v="2025-01-18T00:00:00"/>
    <x v="1"/>
    <x v="1"/>
    <x v="0"/>
    <x v="0"/>
    <x v="6"/>
    <x v="3"/>
    <x v="2"/>
    <x v="1"/>
  </r>
  <r>
    <x v="383"/>
    <x v="9"/>
    <x v="27"/>
    <n v="100.9"/>
    <n v="1614.4"/>
    <x v="16"/>
    <d v="2025-01-18T00:00:00"/>
    <x v="2"/>
    <x v="1"/>
    <x v="0"/>
    <x v="0"/>
    <x v="6"/>
    <x v="3"/>
    <x v="2"/>
    <x v="2"/>
  </r>
  <r>
    <x v="384"/>
    <x v="4"/>
    <x v="9"/>
    <n v="36"/>
    <n v="180"/>
    <x v="16"/>
    <d v="2025-01-19T00:00:00"/>
    <x v="2"/>
    <x v="1"/>
    <x v="0"/>
    <x v="0"/>
    <x v="7"/>
    <x v="1"/>
    <x v="2"/>
    <x v="2"/>
  </r>
  <r>
    <x v="385"/>
    <x v="6"/>
    <x v="13"/>
    <n v="83.3"/>
    <n v="499.79999999999995"/>
    <x v="16"/>
    <d v="2025-01-20T00:00:00"/>
    <x v="0"/>
    <x v="2"/>
    <x v="0"/>
    <x v="0"/>
    <x v="7"/>
    <x v="2"/>
    <x v="2"/>
    <x v="0"/>
  </r>
  <r>
    <x v="386"/>
    <x v="2"/>
    <x v="14"/>
    <n v="60.3"/>
    <n v="1025.0999999999999"/>
    <x v="16"/>
    <d v="2025-01-18T00:00:00"/>
    <x v="1"/>
    <x v="2"/>
    <x v="1"/>
    <x v="0"/>
    <x v="7"/>
    <x v="3"/>
    <x v="2"/>
    <x v="1"/>
  </r>
  <r>
    <x v="387"/>
    <x v="2"/>
    <x v="13"/>
    <n v="120.3"/>
    <n v="721.8"/>
    <x v="16"/>
    <d v="2025-01-18T00:00:00"/>
    <x v="1"/>
    <x v="2"/>
    <x v="0"/>
    <x v="0"/>
    <x v="8"/>
    <x v="3"/>
    <x v="2"/>
    <x v="1"/>
  </r>
  <r>
    <x v="388"/>
    <x v="4"/>
    <x v="7"/>
    <n v="34"/>
    <n v="340"/>
    <x v="16"/>
    <d v="2025-01-21T00:00:00"/>
    <x v="2"/>
    <x v="2"/>
    <x v="0"/>
    <x v="0"/>
    <x v="8"/>
    <x v="5"/>
    <x v="2"/>
    <x v="2"/>
  </r>
  <r>
    <x v="389"/>
    <x v="10"/>
    <x v="9"/>
    <n v="42.6"/>
    <n v="213"/>
    <x v="16"/>
    <d v="2025-01-20T00:00:00"/>
    <x v="1"/>
    <x v="1"/>
    <x v="0"/>
    <x v="0"/>
    <x v="8"/>
    <x v="2"/>
    <x v="2"/>
    <x v="1"/>
  </r>
  <r>
    <x v="390"/>
    <x v="5"/>
    <x v="28"/>
    <n v="47.4"/>
    <n v="948"/>
    <x v="16"/>
    <d v="2025-01-17T00:00:00"/>
    <x v="2"/>
    <x v="2"/>
    <x v="1"/>
    <x v="0"/>
    <x v="17"/>
    <x v="7"/>
    <x v="2"/>
    <x v="2"/>
  </r>
  <r>
    <x v="391"/>
    <x v="2"/>
    <x v="0"/>
    <n v="74"/>
    <n v="74"/>
    <x v="17"/>
    <d v="2025-01-19T00:00:00"/>
    <x v="1"/>
    <x v="1"/>
    <x v="0"/>
    <x v="0"/>
    <x v="11"/>
    <x v="3"/>
    <x v="2"/>
    <x v="1"/>
  </r>
  <r>
    <x v="392"/>
    <x v="2"/>
    <x v="9"/>
    <n v="60.4"/>
    <n v="302"/>
    <x v="17"/>
    <d v="2025-01-21T00:00:00"/>
    <x v="2"/>
    <x v="1"/>
    <x v="4"/>
    <x v="0"/>
    <x v="18"/>
    <x v="2"/>
    <x v="2"/>
    <x v="2"/>
  </r>
  <r>
    <x v="393"/>
    <x v="12"/>
    <x v="1"/>
    <n v="69.3"/>
    <n v="138.6"/>
    <x v="17"/>
    <d v="2025-01-21T00:00:00"/>
    <x v="1"/>
    <x v="1"/>
    <x v="1"/>
    <x v="0"/>
    <x v="13"/>
    <x v="2"/>
    <x v="2"/>
    <x v="1"/>
  </r>
  <r>
    <x v="394"/>
    <x v="5"/>
    <x v="9"/>
    <n v="81"/>
    <n v="405"/>
    <x v="17"/>
    <d v="2025-01-24T00:00:00"/>
    <x v="1"/>
    <x v="3"/>
    <x v="0"/>
    <x v="0"/>
    <x v="21"/>
    <x v="4"/>
    <x v="2"/>
    <x v="1"/>
  </r>
  <r>
    <x v="395"/>
    <x v="15"/>
    <x v="2"/>
    <n v="41.5"/>
    <n v="124.5"/>
    <x v="17"/>
    <d v="2025-01-20T00:00:00"/>
    <x v="3"/>
    <x v="1"/>
    <x v="0"/>
    <x v="0"/>
    <x v="21"/>
    <x v="1"/>
    <x v="2"/>
    <x v="3"/>
  </r>
  <r>
    <x v="396"/>
    <x v="18"/>
    <x v="1"/>
    <n v="69.7"/>
    <n v="139.4"/>
    <x v="17"/>
    <d v="2025-01-23T00:00:00"/>
    <x v="1"/>
    <x v="1"/>
    <x v="0"/>
    <x v="0"/>
    <x v="21"/>
    <x v="0"/>
    <x v="2"/>
    <x v="1"/>
  </r>
  <r>
    <x v="397"/>
    <x v="2"/>
    <x v="9"/>
    <n v="83.6"/>
    <n v="418"/>
    <x v="17"/>
    <d v="2025-01-18T00:00:00"/>
    <x v="2"/>
    <x v="4"/>
    <x v="0"/>
    <x v="0"/>
    <x v="1"/>
    <x v="7"/>
    <x v="2"/>
    <x v="2"/>
  </r>
  <r>
    <x v="398"/>
    <x v="8"/>
    <x v="3"/>
    <n v="21.5"/>
    <n v="150.5"/>
    <x v="17"/>
    <d v="2025-01-20T00:00:00"/>
    <x v="1"/>
    <x v="1"/>
    <x v="4"/>
    <x v="0"/>
    <x v="34"/>
    <x v="1"/>
    <x v="2"/>
    <x v="1"/>
  </r>
  <r>
    <x v="399"/>
    <x v="8"/>
    <x v="8"/>
    <n v="28.6"/>
    <n v="228.8"/>
    <x v="17"/>
    <d v="2025-01-19T00:00:00"/>
    <x v="1"/>
    <x v="0"/>
    <x v="0"/>
    <x v="0"/>
    <x v="3"/>
    <x v="3"/>
    <x v="2"/>
    <x v="1"/>
  </r>
  <r>
    <x v="400"/>
    <x v="8"/>
    <x v="13"/>
    <n v="18.8"/>
    <n v="112.80000000000001"/>
    <x v="17"/>
    <d v="2025-01-21T00:00:00"/>
    <x v="1"/>
    <x v="3"/>
    <x v="2"/>
    <x v="0"/>
    <x v="3"/>
    <x v="2"/>
    <x v="2"/>
    <x v="1"/>
  </r>
  <r>
    <x v="401"/>
    <x v="10"/>
    <x v="12"/>
    <n v="35.1"/>
    <n v="140.4"/>
    <x v="17"/>
    <d v="2025-01-18T00:00:00"/>
    <x v="2"/>
    <x v="1"/>
    <x v="1"/>
    <x v="0"/>
    <x v="3"/>
    <x v="7"/>
    <x v="2"/>
    <x v="2"/>
  </r>
  <r>
    <x v="402"/>
    <x v="0"/>
    <x v="1"/>
    <n v="12.7"/>
    <n v="25.4"/>
    <x v="17"/>
    <d v="2025-01-20T00:00:00"/>
    <x v="2"/>
    <x v="1"/>
    <x v="2"/>
    <x v="0"/>
    <x v="3"/>
    <x v="1"/>
    <x v="2"/>
    <x v="2"/>
  </r>
  <r>
    <x v="403"/>
    <x v="8"/>
    <x v="9"/>
    <n v="27.4"/>
    <n v="137"/>
    <x v="17"/>
    <d v="2025-01-20T00:00:00"/>
    <x v="3"/>
    <x v="0"/>
    <x v="0"/>
    <x v="0"/>
    <x v="3"/>
    <x v="1"/>
    <x v="2"/>
    <x v="3"/>
  </r>
  <r>
    <x v="404"/>
    <x v="10"/>
    <x v="1"/>
    <n v="61.3"/>
    <n v="122.6"/>
    <x v="17"/>
    <d v="2025-01-19T00:00:00"/>
    <x v="2"/>
    <x v="1"/>
    <x v="0"/>
    <x v="0"/>
    <x v="6"/>
    <x v="3"/>
    <x v="2"/>
    <x v="2"/>
  </r>
  <r>
    <x v="405"/>
    <x v="8"/>
    <x v="1"/>
    <n v="64.7"/>
    <n v="129.4"/>
    <x v="17"/>
    <d v="2025-01-20T00:00:00"/>
    <x v="2"/>
    <x v="3"/>
    <x v="2"/>
    <x v="0"/>
    <x v="6"/>
    <x v="1"/>
    <x v="2"/>
    <x v="2"/>
  </r>
  <r>
    <x v="406"/>
    <x v="7"/>
    <x v="12"/>
    <n v="91.4"/>
    <n v="365.6"/>
    <x v="17"/>
    <d v="2025-01-20T00:00:00"/>
    <x v="2"/>
    <x v="0"/>
    <x v="0"/>
    <x v="0"/>
    <x v="8"/>
    <x v="1"/>
    <x v="2"/>
    <x v="2"/>
  </r>
  <r>
    <x v="407"/>
    <x v="0"/>
    <x v="1"/>
    <n v="33.1"/>
    <n v="66.2"/>
    <x v="18"/>
    <d v="2025-01-20T00:00:00"/>
    <x v="1"/>
    <x v="0"/>
    <x v="2"/>
    <x v="0"/>
    <x v="8"/>
    <x v="3"/>
    <x v="3"/>
    <x v="1"/>
  </r>
  <r>
    <x v="408"/>
    <x v="3"/>
    <x v="1"/>
    <n v="105.6"/>
    <n v="211.2"/>
    <x v="18"/>
    <d v="2025-01-20T00:00:00"/>
    <x v="1"/>
    <x v="2"/>
    <x v="1"/>
    <x v="0"/>
    <x v="8"/>
    <x v="3"/>
    <x v="3"/>
    <x v="1"/>
  </r>
  <r>
    <x v="409"/>
    <x v="10"/>
    <x v="2"/>
    <n v="46.4"/>
    <n v="139.19999999999999"/>
    <x v="18"/>
    <d v="2025-01-20T00:00:00"/>
    <x v="1"/>
    <x v="2"/>
    <x v="0"/>
    <x v="0"/>
    <x v="9"/>
    <x v="3"/>
    <x v="3"/>
    <x v="1"/>
  </r>
  <r>
    <x v="410"/>
    <x v="9"/>
    <x v="21"/>
    <n v="35.299999999999997"/>
    <n v="494.19999999999993"/>
    <x v="18"/>
    <d v="2025-01-22T00:00:00"/>
    <x v="2"/>
    <x v="4"/>
    <x v="1"/>
    <x v="0"/>
    <x v="11"/>
    <x v="2"/>
    <x v="3"/>
    <x v="2"/>
  </r>
  <r>
    <x v="411"/>
    <x v="0"/>
    <x v="1"/>
    <n v="16.100000000000001"/>
    <n v="32.200000000000003"/>
    <x v="18"/>
    <d v="2025-01-21T00:00:00"/>
    <x v="1"/>
    <x v="3"/>
    <x v="2"/>
    <x v="0"/>
    <x v="32"/>
    <x v="1"/>
    <x v="3"/>
    <x v="1"/>
  </r>
  <r>
    <x v="412"/>
    <x v="4"/>
    <x v="1"/>
    <n v="27.9"/>
    <n v="55.8"/>
    <x v="18"/>
    <d v="2025-01-22T00:00:00"/>
    <x v="1"/>
    <x v="0"/>
    <x v="0"/>
    <x v="0"/>
    <x v="13"/>
    <x v="2"/>
    <x v="3"/>
    <x v="1"/>
  </r>
  <r>
    <x v="413"/>
    <x v="8"/>
    <x v="0"/>
    <n v="47.1"/>
    <n v="47.1"/>
    <x v="18"/>
    <d v="2025-01-27T00:00:00"/>
    <x v="2"/>
    <x v="1"/>
    <x v="0"/>
    <x v="0"/>
    <x v="2"/>
    <x v="9"/>
    <x v="3"/>
    <x v="2"/>
  </r>
  <r>
    <x v="414"/>
    <x v="6"/>
    <x v="1"/>
    <n v="85"/>
    <n v="170"/>
    <x v="18"/>
    <d v="2025-01-22T00:00:00"/>
    <x v="0"/>
    <x v="2"/>
    <x v="2"/>
    <x v="0"/>
    <x v="22"/>
    <x v="2"/>
    <x v="3"/>
    <x v="0"/>
  </r>
  <r>
    <x v="415"/>
    <x v="18"/>
    <x v="1"/>
    <n v="89"/>
    <n v="178"/>
    <x v="18"/>
    <d v="2025-01-21T00:00:00"/>
    <x v="2"/>
    <x v="0"/>
    <x v="0"/>
    <x v="0"/>
    <x v="3"/>
    <x v="1"/>
    <x v="3"/>
    <x v="2"/>
  </r>
  <r>
    <x v="416"/>
    <x v="16"/>
    <x v="2"/>
    <n v="36.6"/>
    <n v="109.80000000000001"/>
    <x v="18"/>
    <d v="2025-01-20T00:00:00"/>
    <x v="3"/>
    <x v="3"/>
    <x v="2"/>
    <x v="0"/>
    <x v="3"/>
    <x v="3"/>
    <x v="3"/>
    <x v="3"/>
  </r>
  <r>
    <x v="417"/>
    <x v="6"/>
    <x v="3"/>
    <n v="43.5"/>
    <n v="304.5"/>
    <x v="18"/>
    <d v="2025-01-20T00:00:00"/>
    <x v="1"/>
    <x v="1"/>
    <x v="2"/>
    <x v="0"/>
    <x v="3"/>
    <x v="3"/>
    <x v="3"/>
    <x v="1"/>
  </r>
  <r>
    <x v="418"/>
    <x v="9"/>
    <x v="10"/>
    <n v="30.5"/>
    <n v="579.5"/>
    <x v="18"/>
    <d v="2025-01-19T00:00:00"/>
    <x v="2"/>
    <x v="3"/>
    <x v="0"/>
    <x v="0"/>
    <x v="3"/>
    <x v="7"/>
    <x v="3"/>
    <x v="2"/>
  </r>
  <r>
    <x v="419"/>
    <x v="1"/>
    <x v="1"/>
    <n v="107.7"/>
    <n v="215.4"/>
    <x v="18"/>
    <d v="2025-01-23T00:00:00"/>
    <x v="1"/>
    <x v="3"/>
    <x v="4"/>
    <x v="0"/>
    <x v="3"/>
    <x v="5"/>
    <x v="3"/>
    <x v="1"/>
  </r>
  <r>
    <x v="420"/>
    <x v="17"/>
    <x v="18"/>
    <n v="57.1"/>
    <n v="1484.6000000000001"/>
    <x v="18"/>
    <d v="2025-01-20T00:00:00"/>
    <x v="1"/>
    <x v="1"/>
    <x v="0"/>
    <x v="0"/>
    <x v="3"/>
    <x v="3"/>
    <x v="3"/>
    <x v="1"/>
  </r>
  <r>
    <x v="421"/>
    <x v="2"/>
    <x v="7"/>
    <n v="111.7"/>
    <n v="1117"/>
    <x v="18"/>
    <d v="2025-01-20T00:00:00"/>
    <x v="2"/>
    <x v="4"/>
    <x v="2"/>
    <x v="0"/>
    <x v="3"/>
    <x v="3"/>
    <x v="3"/>
    <x v="2"/>
  </r>
  <r>
    <x v="422"/>
    <x v="18"/>
    <x v="3"/>
    <n v="44.3"/>
    <n v="310.09999999999997"/>
    <x v="18"/>
    <d v="2025-01-22T00:00:00"/>
    <x v="1"/>
    <x v="3"/>
    <x v="2"/>
    <x v="0"/>
    <x v="3"/>
    <x v="2"/>
    <x v="3"/>
    <x v="1"/>
  </r>
  <r>
    <x v="423"/>
    <x v="2"/>
    <x v="8"/>
    <n v="95.8"/>
    <n v="766.4"/>
    <x v="18"/>
    <d v="2025-01-25T00:00:00"/>
    <x v="3"/>
    <x v="0"/>
    <x v="0"/>
    <x v="0"/>
    <x v="3"/>
    <x v="4"/>
    <x v="3"/>
    <x v="3"/>
  </r>
  <r>
    <x v="424"/>
    <x v="10"/>
    <x v="3"/>
    <n v="22.6"/>
    <n v="158.20000000000002"/>
    <x v="18"/>
    <d v="2025-01-22T00:00:00"/>
    <x v="2"/>
    <x v="3"/>
    <x v="1"/>
    <x v="0"/>
    <x v="3"/>
    <x v="2"/>
    <x v="3"/>
    <x v="2"/>
  </r>
  <r>
    <x v="425"/>
    <x v="8"/>
    <x v="8"/>
    <n v="25.6"/>
    <n v="204.8"/>
    <x v="18"/>
    <d v="2025-01-21T00:00:00"/>
    <x v="2"/>
    <x v="4"/>
    <x v="0"/>
    <x v="0"/>
    <x v="3"/>
    <x v="1"/>
    <x v="3"/>
    <x v="2"/>
  </r>
  <r>
    <x v="426"/>
    <x v="6"/>
    <x v="27"/>
    <n v="54.3"/>
    <n v="868.8"/>
    <x v="18"/>
    <d v="2025-01-22T00:00:00"/>
    <x v="2"/>
    <x v="4"/>
    <x v="0"/>
    <x v="0"/>
    <x v="3"/>
    <x v="2"/>
    <x v="3"/>
    <x v="2"/>
  </r>
  <r>
    <x v="427"/>
    <x v="18"/>
    <x v="15"/>
    <n v="51.3"/>
    <n v="666.9"/>
    <x v="18"/>
    <d v="2025-01-21T00:00:00"/>
    <x v="1"/>
    <x v="0"/>
    <x v="2"/>
    <x v="0"/>
    <x v="3"/>
    <x v="1"/>
    <x v="3"/>
    <x v="1"/>
  </r>
  <r>
    <x v="428"/>
    <x v="0"/>
    <x v="8"/>
    <n v="25.6"/>
    <n v="204.8"/>
    <x v="18"/>
    <d v="2025-01-20T00:00:00"/>
    <x v="2"/>
    <x v="1"/>
    <x v="1"/>
    <x v="0"/>
    <x v="3"/>
    <x v="3"/>
    <x v="3"/>
    <x v="2"/>
  </r>
  <r>
    <x v="429"/>
    <x v="0"/>
    <x v="1"/>
    <n v="15.6"/>
    <n v="31.2"/>
    <x v="18"/>
    <d v="2025-01-20T00:00:00"/>
    <x v="2"/>
    <x v="2"/>
    <x v="2"/>
    <x v="0"/>
    <x v="3"/>
    <x v="3"/>
    <x v="3"/>
    <x v="2"/>
  </r>
  <r>
    <x v="430"/>
    <x v="8"/>
    <x v="2"/>
    <n v="30.3"/>
    <n v="90.9"/>
    <x v="18"/>
    <d v="2025-01-23T00:00:00"/>
    <x v="2"/>
    <x v="0"/>
    <x v="1"/>
    <x v="0"/>
    <x v="3"/>
    <x v="5"/>
    <x v="3"/>
    <x v="2"/>
  </r>
  <r>
    <x v="431"/>
    <x v="12"/>
    <x v="1"/>
    <n v="30.3"/>
    <n v="60.6"/>
    <x v="18"/>
    <d v="2025-01-24T00:00:00"/>
    <x v="2"/>
    <x v="0"/>
    <x v="2"/>
    <x v="0"/>
    <x v="37"/>
    <x v="0"/>
    <x v="3"/>
    <x v="2"/>
  </r>
  <r>
    <x v="432"/>
    <x v="10"/>
    <x v="2"/>
    <n v="53"/>
    <n v="159"/>
    <x v="18"/>
    <d v="2025-01-26T00:00:00"/>
    <x v="2"/>
    <x v="2"/>
    <x v="0"/>
    <x v="0"/>
    <x v="24"/>
    <x v="6"/>
    <x v="3"/>
    <x v="2"/>
  </r>
  <r>
    <x v="433"/>
    <x v="5"/>
    <x v="16"/>
    <n v="59.9"/>
    <n v="1078.2"/>
    <x v="18"/>
    <d v="2025-01-22T00:00:00"/>
    <x v="1"/>
    <x v="2"/>
    <x v="4"/>
    <x v="0"/>
    <x v="25"/>
    <x v="2"/>
    <x v="3"/>
    <x v="1"/>
  </r>
  <r>
    <x v="434"/>
    <x v="9"/>
    <x v="1"/>
    <n v="45.7"/>
    <n v="91.4"/>
    <x v="18"/>
    <d v="2025-01-20T00:00:00"/>
    <x v="2"/>
    <x v="1"/>
    <x v="2"/>
    <x v="0"/>
    <x v="6"/>
    <x v="3"/>
    <x v="3"/>
    <x v="2"/>
  </r>
  <r>
    <x v="435"/>
    <x v="8"/>
    <x v="12"/>
    <n v="46.1"/>
    <n v="184.4"/>
    <x v="18"/>
    <d v="2025-01-20T00:00:00"/>
    <x v="1"/>
    <x v="0"/>
    <x v="0"/>
    <x v="0"/>
    <x v="6"/>
    <x v="3"/>
    <x v="3"/>
    <x v="1"/>
  </r>
  <r>
    <x v="436"/>
    <x v="8"/>
    <x v="2"/>
    <n v="17.5"/>
    <n v="52.5"/>
    <x v="18"/>
    <d v="2025-01-20T00:00:00"/>
    <x v="2"/>
    <x v="0"/>
    <x v="2"/>
    <x v="0"/>
    <x v="8"/>
    <x v="3"/>
    <x v="3"/>
    <x v="2"/>
  </r>
  <r>
    <x v="437"/>
    <x v="10"/>
    <x v="2"/>
    <n v="36.5"/>
    <n v="109.5"/>
    <x v="18"/>
    <d v="2025-01-30T00:00:00"/>
    <x v="1"/>
    <x v="2"/>
    <x v="0"/>
    <x v="0"/>
    <x v="8"/>
    <x v="11"/>
    <x v="3"/>
    <x v="1"/>
  </r>
  <r>
    <x v="438"/>
    <x v="8"/>
    <x v="1"/>
    <n v="47.5"/>
    <n v="95"/>
    <x v="19"/>
    <d v="2025-01-22T00:00:00"/>
    <x v="2"/>
    <x v="1"/>
    <x v="0"/>
    <x v="0"/>
    <x v="8"/>
    <x v="1"/>
    <x v="3"/>
    <x v="2"/>
  </r>
  <r>
    <x v="439"/>
    <x v="6"/>
    <x v="9"/>
    <n v="45.6"/>
    <n v="228"/>
    <x v="19"/>
    <d v="2025-01-22T00:00:00"/>
    <x v="2"/>
    <x v="0"/>
    <x v="2"/>
    <x v="0"/>
    <x v="8"/>
    <x v="1"/>
    <x v="3"/>
    <x v="2"/>
  </r>
  <r>
    <x v="440"/>
    <x v="9"/>
    <x v="1"/>
    <n v="50.5"/>
    <n v="101"/>
    <x v="19"/>
    <d v="2025-01-22T00:00:00"/>
    <x v="1"/>
    <x v="0"/>
    <x v="1"/>
    <x v="0"/>
    <x v="17"/>
    <x v="1"/>
    <x v="3"/>
    <x v="1"/>
  </r>
  <r>
    <x v="441"/>
    <x v="2"/>
    <x v="7"/>
    <n v="99.8"/>
    <n v="998"/>
    <x v="19"/>
    <d v="2025-01-23T00:00:00"/>
    <x v="2"/>
    <x v="2"/>
    <x v="1"/>
    <x v="0"/>
    <x v="17"/>
    <x v="2"/>
    <x v="3"/>
    <x v="2"/>
  </r>
  <r>
    <x v="442"/>
    <x v="8"/>
    <x v="20"/>
    <n v="19.2"/>
    <n v="288"/>
    <x v="19"/>
    <d v="2025-01-22T00:00:00"/>
    <x v="3"/>
    <x v="4"/>
    <x v="1"/>
    <x v="0"/>
    <x v="26"/>
    <x v="1"/>
    <x v="3"/>
    <x v="3"/>
  </r>
  <r>
    <x v="443"/>
    <x v="17"/>
    <x v="2"/>
    <n v="22.6"/>
    <n v="67.800000000000011"/>
    <x v="19"/>
    <d v="2025-01-21T00:00:00"/>
    <x v="1"/>
    <x v="1"/>
    <x v="0"/>
    <x v="0"/>
    <x v="11"/>
    <x v="3"/>
    <x v="3"/>
    <x v="1"/>
  </r>
  <r>
    <x v="444"/>
    <x v="1"/>
    <x v="20"/>
    <n v="126.9"/>
    <n v="1903.5"/>
    <x v="19"/>
    <d v="2025-01-22T00:00:00"/>
    <x v="2"/>
    <x v="0"/>
    <x v="2"/>
    <x v="0"/>
    <x v="11"/>
    <x v="1"/>
    <x v="3"/>
    <x v="2"/>
  </r>
  <r>
    <x v="445"/>
    <x v="2"/>
    <x v="1"/>
    <n v="100.3"/>
    <n v="200.6"/>
    <x v="19"/>
    <d v="2025-01-21T00:00:00"/>
    <x v="2"/>
    <x v="0"/>
    <x v="1"/>
    <x v="0"/>
    <x v="11"/>
    <x v="3"/>
    <x v="3"/>
    <x v="2"/>
  </r>
  <r>
    <x v="446"/>
    <x v="4"/>
    <x v="16"/>
    <n v="24.6"/>
    <n v="442.8"/>
    <x v="19"/>
    <d v="2025-01-21T00:00:00"/>
    <x v="2"/>
    <x v="4"/>
    <x v="0"/>
    <x v="0"/>
    <x v="13"/>
    <x v="3"/>
    <x v="3"/>
    <x v="2"/>
  </r>
  <r>
    <x v="447"/>
    <x v="6"/>
    <x v="1"/>
    <n v="47.3"/>
    <n v="94.6"/>
    <x v="19"/>
    <d v="2025-01-21T00:00:00"/>
    <x v="1"/>
    <x v="1"/>
    <x v="2"/>
    <x v="0"/>
    <x v="13"/>
    <x v="3"/>
    <x v="3"/>
    <x v="1"/>
  </r>
  <r>
    <x v="448"/>
    <x v="6"/>
    <x v="3"/>
    <n v="40.799999999999997"/>
    <n v="285.59999999999997"/>
    <x v="19"/>
    <d v="2025-01-23T00:00:00"/>
    <x v="2"/>
    <x v="2"/>
    <x v="2"/>
    <x v="0"/>
    <x v="21"/>
    <x v="2"/>
    <x v="3"/>
    <x v="2"/>
  </r>
  <r>
    <x v="449"/>
    <x v="8"/>
    <x v="8"/>
    <n v="49.2"/>
    <n v="393.6"/>
    <x v="19"/>
    <d v="2025-01-22T00:00:00"/>
    <x v="2"/>
    <x v="0"/>
    <x v="0"/>
    <x v="0"/>
    <x v="1"/>
    <x v="1"/>
    <x v="3"/>
    <x v="2"/>
  </r>
  <r>
    <x v="450"/>
    <x v="8"/>
    <x v="0"/>
    <n v="28.5"/>
    <n v="28.5"/>
    <x v="19"/>
    <d v="2025-01-22T00:00:00"/>
    <x v="0"/>
    <x v="2"/>
    <x v="1"/>
    <x v="0"/>
    <x v="3"/>
    <x v="1"/>
    <x v="3"/>
    <x v="0"/>
  </r>
  <r>
    <x v="451"/>
    <x v="18"/>
    <x v="1"/>
    <n v="36.799999999999997"/>
    <n v="73.599999999999994"/>
    <x v="19"/>
    <d v="2025-01-26T00:00:00"/>
    <x v="2"/>
    <x v="0"/>
    <x v="2"/>
    <x v="0"/>
    <x v="3"/>
    <x v="4"/>
    <x v="3"/>
    <x v="2"/>
  </r>
  <r>
    <x v="452"/>
    <x v="7"/>
    <x v="2"/>
    <n v="33.5"/>
    <n v="100.5"/>
    <x v="19"/>
    <d v="2025-01-21T00:00:00"/>
    <x v="2"/>
    <x v="0"/>
    <x v="1"/>
    <x v="0"/>
    <x v="3"/>
    <x v="3"/>
    <x v="3"/>
    <x v="2"/>
  </r>
  <r>
    <x v="453"/>
    <x v="6"/>
    <x v="13"/>
    <n v="62.5"/>
    <n v="375"/>
    <x v="19"/>
    <d v="2025-01-22T00:00:00"/>
    <x v="2"/>
    <x v="0"/>
    <x v="0"/>
    <x v="0"/>
    <x v="3"/>
    <x v="1"/>
    <x v="3"/>
    <x v="2"/>
  </r>
  <r>
    <x v="454"/>
    <x v="8"/>
    <x v="29"/>
    <n v="47.9"/>
    <n v="1916"/>
    <x v="19"/>
    <d v="2025-01-21T00:00:00"/>
    <x v="2"/>
    <x v="3"/>
    <x v="0"/>
    <x v="0"/>
    <x v="3"/>
    <x v="3"/>
    <x v="3"/>
    <x v="2"/>
  </r>
  <r>
    <x v="455"/>
    <x v="6"/>
    <x v="13"/>
    <n v="92.9"/>
    <n v="557.40000000000009"/>
    <x v="19"/>
    <d v="2025-01-31T00:00:00"/>
    <x v="2"/>
    <x v="0"/>
    <x v="4"/>
    <x v="0"/>
    <x v="3"/>
    <x v="11"/>
    <x v="3"/>
    <x v="2"/>
  </r>
  <r>
    <x v="456"/>
    <x v="12"/>
    <x v="2"/>
    <n v="44.1"/>
    <n v="132.30000000000001"/>
    <x v="19"/>
    <d v="2025-01-20T00:00:00"/>
    <x v="2"/>
    <x v="1"/>
    <x v="1"/>
    <x v="0"/>
    <x v="43"/>
    <x v="7"/>
    <x v="3"/>
    <x v="2"/>
  </r>
  <r>
    <x v="457"/>
    <x v="0"/>
    <x v="0"/>
    <n v="11.4"/>
    <n v="11.4"/>
    <x v="20"/>
    <d v="2025-01-23T00:00:00"/>
    <x v="2"/>
    <x v="2"/>
    <x v="0"/>
    <x v="0"/>
    <x v="5"/>
    <x v="1"/>
    <x v="3"/>
    <x v="2"/>
  </r>
  <r>
    <x v="458"/>
    <x v="6"/>
    <x v="0"/>
    <n v="83.7"/>
    <n v="83.7"/>
    <x v="20"/>
    <d v="2025-01-23T00:00:00"/>
    <x v="2"/>
    <x v="0"/>
    <x v="2"/>
    <x v="0"/>
    <x v="6"/>
    <x v="1"/>
    <x v="3"/>
    <x v="2"/>
  </r>
  <r>
    <x v="459"/>
    <x v="10"/>
    <x v="1"/>
    <n v="23.2"/>
    <n v="46.4"/>
    <x v="20"/>
    <d v="2025-01-22T00:00:00"/>
    <x v="1"/>
    <x v="2"/>
    <x v="0"/>
    <x v="0"/>
    <x v="8"/>
    <x v="3"/>
    <x v="3"/>
    <x v="1"/>
  </r>
  <r>
    <x v="460"/>
    <x v="2"/>
    <x v="0"/>
    <n v="162.1"/>
    <n v="162.1"/>
    <x v="20"/>
    <d v="2025-01-24T00:00:00"/>
    <x v="2"/>
    <x v="0"/>
    <x v="2"/>
    <x v="0"/>
    <x v="9"/>
    <x v="2"/>
    <x v="3"/>
    <x v="2"/>
  </r>
  <r>
    <x v="461"/>
    <x v="6"/>
    <x v="12"/>
    <n v="49.2"/>
    <n v="196.8"/>
    <x v="20"/>
    <d v="2025-01-25T00:00:00"/>
    <x v="1"/>
    <x v="1"/>
    <x v="0"/>
    <x v="0"/>
    <x v="9"/>
    <x v="5"/>
    <x v="3"/>
    <x v="1"/>
  </r>
  <r>
    <x v="462"/>
    <x v="1"/>
    <x v="1"/>
    <n v="61"/>
    <n v="122"/>
    <x v="20"/>
    <d v="2025-01-22T00:00:00"/>
    <x v="1"/>
    <x v="3"/>
    <x v="0"/>
    <x v="0"/>
    <x v="10"/>
    <x v="3"/>
    <x v="3"/>
    <x v="1"/>
  </r>
  <r>
    <x v="463"/>
    <x v="2"/>
    <x v="7"/>
    <n v="53.1"/>
    <n v="531"/>
    <x v="20"/>
    <d v="2025-01-23T00:00:00"/>
    <x v="1"/>
    <x v="0"/>
    <x v="0"/>
    <x v="0"/>
    <x v="11"/>
    <x v="1"/>
    <x v="3"/>
    <x v="1"/>
  </r>
  <r>
    <x v="464"/>
    <x v="4"/>
    <x v="1"/>
    <n v="22.4"/>
    <n v="44.8"/>
    <x v="20"/>
    <d v="2025-01-23T00:00:00"/>
    <x v="0"/>
    <x v="1"/>
    <x v="2"/>
    <x v="0"/>
    <x v="13"/>
    <x v="1"/>
    <x v="3"/>
    <x v="0"/>
  </r>
  <r>
    <x v="465"/>
    <x v="1"/>
    <x v="9"/>
    <n v="75.3"/>
    <n v="376.5"/>
    <x v="20"/>
    <d v="2025-01-22T00:00:00"/>
    <x v="1"/>
    <x v="0"/>
    <x v="0"/>
    <x v="0"/>
    <x v="21"/>
    <x v="3"/>
    <x v="3"/>
    <x v="1"/>
  </r>
  <r>
    <x v="466"/>
    <x v="6"/>
    <x v="0"/>
    <n v="48.5"/>
    <n v="48.5"/>
    <x v="20"/>
    <d v="2025-01-22T00:00:00"/>
    <x v="2"/>
    <x v="0"/>
    <x v="1"/>
    <x v="0"/>
    <x v="21"/>
    <x v="3"/>
    <x v="3"/>
    <x v="2"/>
  </r>
  <r>
    <x v="467"/>
    <x v="6"/>
    <x v="0"/>
    <n v="42.6"/>
    <n v="42.6"/>
    <x v="20"/>
    <d v="2025-01-25T00:00:00"/>
    <x v="2"/>
    <x v="3"/>
    <x v="0"/>
    <x v="0"/>
    <x v="1"/>
    <x v="5"/>
    <x v="3"/>
    <x v="2"/>
  </r>
  <r>
    <x v="468"/>
    <x v="5"/>
    <x v="9"/>
    <n v="49"/>
    <n v="245"/>
    <x v="20"/>
    <d v="2025-01-22T00:00:00"/>
    <x v="1"/>
    <x v="0"/>
    <x v="0"/>
    <x v="0"/>
    <x v="22"/>
    <x v="3"/>
    <x v="3"/>
    <x v="1"/>
  </r>
  <r>
    <x v="469"/>
    <x v="8"/>
    <x v="2"/>
    <n v="31.3"/>
    <n v="93.9"/>
    <x v="20"/>
    <d v="2025-01-22T00:00:00"/>
    <x v="1"/>
    <x v="2"/>
    <x v="1"/>
    <x v="0"/>
    <x v="3"/>
    <x v="3"/>
    <x v="3"/>
    <x v="1"/>
  </r>
  <r>
    <x v="470"/>
    <x v="2"/>
    <x v="1"/>
    <n v="85.4"/>
    <n v="170.8"/>
    <x v="20"/>
    <d v="2025-01-22T00:00:00"/>
    <x v="2"/>
    <x v="2"/>
    <x v="0"/>
    <x v="0"/>
    <x v="3"/>
    <x v="3"/>
    <x v="3"/>
    <x v="2"/>
  </r>
  <r>
    <x v="471"/>
    <x v="8"/>
    <x v="12"/>
    <n v="40"/>
    <n v="160"/>
    <x v="20"/>
    <d v="2025-01-22T00:00:00"/>
    <x v="3"/>
    <x v="0"/>
    <x v="2"/>
    <x v="0"/>
    <x v="3"/>
    <x v="3"/>
    <x v="3"/>
    <x v="3"/>
  </r>
  <r>
    <x v="472"/>
    <x v="5"/>
    <x v="1"/>
    <n v="38.5"/>
    <n v="77"/>
    <x v="20"/>
    <d v="2025-01-24T00:00:00"/>
    <x v="1"/>
    <x v="1"/>
    <x v="2"/>
    <x v="0"/>
    <x v="3"/>
    <x v="2"/>
    <x v="3"/>
    <x v="1"/>
  </r>
  <r>
    <x v="473"/>
    <x v="2"/>
    <x v="1"/>
    <n v="57.8"/>
    <n v="115.6"/>
    <x v="20"/>
    <d v="2025-01-22T00:00:00"/>
    <x v="0"/>
    <x v="0"/>
    <x v="0"/>
    <x v="0"/>
    <x v="3"/>
    <x v="3"/>
    <x v="3"/>
    <x v="0"/>
  </r>
  <r>
    <x v="474"/>
    <x v="8"/>
    <x v="0"/>
    <n v="19.2"/>
    <n v="19.2"/>
    <x v="20"/>
    <d v="2025-01-22T00:00:00"/>
    <x v="2"/>
    <x v="0"/>
    <x v="4"/>
    <x v="0"/>
    <x v="3"/>
    <x v="3"/>
    <x v="3"/>
    <x v="2"/>
  </r>
  <r>
    <x v="475"/>
    <x v="6"/>
    <x v="13"/>
    <n v="114.8"/>
    <n v="688.8"/>
    <x v="20"/>
    <d v="2025-01-24T00:00:00"/>
    <x v="1"/>
    <x v="1"/>
    <x v="1"/>
    <x v="0"/>
    <x v="3"/>
    <x v="2"/>
    <x v="3"/>
    <x v="1"/>
  </r>
  <r>
    <x v="476"/>
    <x v="10"/>
    <x v="3"/>
    <n v="48.4"/>
    <n v="338.8"/>
    <x v="20"/>
    <d v="2025-01-24T00:00:00"/>
    <x v="2"/>
    <x v="3"/>
    <x v="1"/>
    <x v="0"/>
    <x v="3"/>
    <x v="2"/>
    <x v="3"/>
    <x v="2"/>
  </r>
  <r>
    <x v="477"/>
    <x v="9"/>
    <x v="9"/>
    <n v="73.2"/>
    <n v="366"/>
    <x v="20"/>
    <d v="2025-01-22T00:00:00"/>
    <x v="2"/>
    <x v="1"/>
    <x v="4"/>
    <x v="0"/>
    <x v="3"/>
    <x v="3"/>
    <x v="3"/>
    <x v="2"/>
  </r>
  <r>
    <x v="478"/>
    <x v="15"/>
    <x v="1"/>
    <n v="48.6"/>
    <n v="97.2"/>
    <x v="20"/>
    <d v="2025-01-25T00:00:00"/>
    <x v="2"/>
    <x v="3"/>
    <x v="0"/>
    <x v="0"/>
    <x v="3"/>
    <x v="5"/>
    <x v="3"/>
    <x v="2"/>
  </r>
  <r>
    <x v="479"/>
    <x v="0"/>
    <x v="13"/>
    <n v="48.7"/>
    <n v="292.20000000000005"/>
    <x v="20"/>
    <d v="2025-01-22T00:00:00"/>
    <x v="1"/>
    <x v="0"/>
    <x v="0"/>
    <x v="0"/>
    <x v="3"/>
    <x v="3"/>
    <x v="3"/>
    <x v="1"/>
  </r>
  <r>
    <x v="480"/>
    <x v="4"/>
    <x v="1"/>
    <n v="32.200000000000003"/>
    <n v="64.400000000000006"/>
    <x v="20"/>
    <d v="2025-01-24T00:00:00"/>
    <x v="1"/>
    <x v="2"/>
    <x v="2"/>
    <x v="0"/>
    <x v="3"/>
    <x v="2"/>
    <x v="3"/>
    <x v="1"/>
  </r>
  <r>
    <x v="481"/>
    <x v="15"/>
    <x v="8"/>
    <n v="25.8"/>
    <n v="206.4"/>
    <x v="20"/>
    <d v="2025-01-22T00:00:00"/>
    <x v="1"/>
    <x v="0"/>
    <x v="0"/>
    <x v="0"/>
    <x v="37"/>
    <x v="3"/>
    <x v="3"/>
    <x v="1"/>
  </r>
  <r>
    <x v="482"/>
    <x v="6"/>
    <x v="1"/>
    <n v="94.8"/>
    <n v="189.6"/>
    <x v="21"/>
    <d v="2025-01-25T00:00:00"/>
    <x v="2"/>
    <x v="1"/>
    <x v="1"/>
    <x v="0"/>
    <x v="25"/>
    <x v="2"/>
    <x v="3"/>
    <x v="2"/>
  </r>
  <r>
    <x v="483"/>
    <x v="15"/>
    <x v="30"/>
    <n v="56.8"/>
    <n v="1420"/>
    <x v="21"/>
    <d v="2025-01-25T00:00:00"/>
    <x v="1"/>
    <x v="0"/>
    <x v="0"/>
    <x v="0"/>
    <x v="25"/>
    <x v="2"/>
    <x v="3"/>
    <x v="1"/>
  </r>
  <r>
    <x v="484"/>
    <x v="8"/>
    <x v="27"/>
    <n v="18.3"/>
    <n v="292.8"/>
    <x v="21"/>
    <d v="2025-01-29T00:00:00"/>
    <x v="2"/>
    <x v="2"/>
    <x v="2"/>
    <x v="0"/>
    <x v="23"/>
    <x v="6"/>
    <x v="3"/>
    <x v="2"/>
  </r>
  <r>
    <x v="485"/>
    <x v="0"/>
    <x v="2"/>
    <n v="16.8"/>
    <n v="50.400000000000006"/>
    <x v="21"/>
    <d v="2025-01-27T00:00:00"/>
    <x v="2"/>
    <x v="2"/>
    <x v="2"/>
    <x v="0"/>
    <x v="8"/>
    <x v="0"/>
    <x v="3"/>
    <x v="2"/>
  </r>
  <r>
    <x v="486"/>
    <x v="5"/>
    <x v="5"/>
    <n v="35.799999999999997"/>
    <n v="393.79999999999995"/>
    <x v="21"/>
    <d v="2025-01-23T00:00:00"/>
    <x v="1"/>
    <x v="1"/>
    <x v="0"/>
    <x v="0"/>
    <x v="17"/>
    <x v="3"/>
    <x v="3"/>
    <x v="1"/>
  </r>
  <r>
    <x v="487"/>
    <x v="18"/>
    <x v="0"/>
    <n v="64.900000000000006"/>
    <n v="64.900000000000006"/>
    <x v="21"/>
    <d v="2025-01-23T00:00:00"/>
    <x v="1"/>
    <x v="0"/>
    <x v="1"/>
    <x v="0"/>
    <x v="17"/>
    <x v="3"/>
    <x v="3"/>
    <x v="1"/>
  </r>
  <r>
    <x v="488"/>
    <x v="18"/>
    <x v="0"/>
    <n v="28.5"/>
    <n v="28.5"/>
    <x v="21"/>
    <d v="2025-01-24T00:00:00"/>
    <x v="0"/>
    <x v="1"/>
    <x v="0"/>
    <x v="0"/>
    <x v="9"/>
    <x v="1"/>
    <x v="3"/>
    <x v="0"/>
  </r>
  <r>
    <x v="489"/>
    <x v="18"/>
    <x v="1"/>
    <n v="103.5"/>
    <n v="207"/>
    <x v="21"/>
    <d v="2025-01-24T00:00:00"/>
    <x v="2"/>
    <x v="1"/>
    <x v="0"/>
    <x v="0"/>
    <x v="10"/>
    <x v="1"/>
    <x v="3"/>
    <x v="2"/>
  </r>
  <r>
    <x v="490"/>
    <x v="4"/>
    <x v="1"/>
    <n v="41.2"/>
    <n v="82.4"/>
    <x v="21"/>
    <d v="2025-01-23T00:00:00"/>
    <x v="2"/>
    <x v="1"/>
    <x v="0"/>
    <x v="0"/>
    <x v="10"/>
    <x v="3"/>
    <x v="3"/>
    <x v="2"/>
  </r>
  <r>
    <x v="491"/>
    <x v="9"/>
    <x v="0"/>
    <n v="37.799999999999997"/>
    <n v="37.799999999999997"/>
    <x v="21"/>
    <d v="2025-01-24T00:00:00"/>
    <x v="2"/>
    <x v="3"/>
    <x v="3"/>
    <x v="0"/>
    <x v="11"/>
    <x v="1"/>
    <x v="3"/>
    <x v="2"/>
  </r>
  <r>
    <x v="492"/>
    <x v="8"/>
    <x v="1"/>
    <n v="42.6"/>
    <n v="85.2"/>
    <x v="21"/>
    <d v="2025-01-24T00:00:00"/>
    <x v="2"/>
    <x v="4"/>
    <x v="0"/>
    <x v="0"/>
    <x v="11"/>
    <x v="1"/>
    <x v="3"/>
    <x v="2"/>
  </r>
  <r>
    <x v="493"/>
    <x v="8"/>
    <x v="7"/>
    <n v="15.2"/>
    <n v="152"/>
    <x v="21"/>
    <d v="2025-01-24T00:00:00"/>
    <x v="2"/>
    <x v="2"/>
    <x v="0"/>
    <x v="0"/>
    <x v="11"/>
    <x v="1"/>
    <x v="3"/>
    <x v="2"/>
  </r>
  <r>
    <x v="494"/>
    <x v="7"/>
    <x v="12"/>
    <n v="83.4"/>
    <n v="333.6"/>
    <x v="21"/>
    <d v="2025-01-23T00:00:00"/>
    <x v="2"/>
    <x v="2"/>
    <x v="1"/>
    <x v="0"/>
    <x v="18"/>
    <x v="3"/>
    <x v="3"/>
    <x v="2"/>
  </r>
  <r>
    <x v="495"/>
    <x v="19"/>
    <x v="1"/>
    <n v="27.7"/>
    <n v="55.4"/>
    <x v="21"/>
    <d v="2025-01-23T00:00:00"/>
    <x v="2"/>
    <x v="0"/>
    <x v="1"/>
    <x v="0"/>
    <x v="13"/>
    <x v="3"/>
    <x v="3"/>
    <x v="2"/>
  </r>
  <r>
    <x v="496"/>
    <x v="10"/>
    <x v="4"/>
    <n v="20.8"/>
    <n v="249.60000000000002"/>
    <x v="21"/>
    <d v="2025-01-23T00:00:00"/>
    <x v="1"/>
    <x v="3"/>
    <x v="0"/>
    <x v="0"/>
    <x v="13"/>
    <x v="3"/>
    <x v="3"/>
    <x v="1"/>
  </r>
  <r>
    <x v="497"/>
    <x v="11"/>
    <x v="1"/>
    <n v="72.7"/>
    <n v="145.4"/>
    <x v="21"/>
    <d v="2025-01-26T00:00:00"/>
    <x v="2"/>
    <x v="4"/>
    <x v="2"/>
    <x v="0"/>
    <x v="44"/>
    <x v="5"/>
    <x v="3"/>
    <x v="2"/>
  </r>
  <r>
    <x v="498"/>
    <x v="10"/>
    <x v="12"/>
    <n v="38.6"/>
    <n v="154.4"/>
    <x v="21"/>
    <d v="2025-01-23T00:00:00"/>
    <x v="1"/>
    <x v="0"/>
    <x v="2"/>
    <x v="0"/>
    <x v="22"/>
    <x v="3"/>
    <x v="3"/>
    <x v="1"/>
  </r>
  <r>
    <x v="499"/>
    <x v="8"/>
    <x v="3"/>
    <n v="33.1"/>
    <n v="231.70000000000002"/>
    <x v="21"/>
    <d v="2025-01-23T00:00:00"/>
    <x v="3"/>
    <x v="4"/>
    <x v="3"/>
    <x v="0"/>
    <x v="3"/>
    <x v="3"/>
    <x v="3"/>
    <x v="3"/>
  </r>
  <r>
    <x v="500"/>
    <x v="10"/>
    <x v="1"/>
    <n v="30.5"/>
    <n v="61"/>
    <x v="21"/>
    <d v="2025-01-22T00:00:00"/>
    <x v="0"/>
    <x v="1"/>
    <x v="1"/>
    <x v="0"/>
    <x v="3"/>
    <x v="7"/>
    <x v="3"/>
    <x v="0"/>
  </r>
  <r>
    <x v="501"/>
    <x v="9"/>
    <x v="1"/>
    <n v="69.599999999999994"/>
    <n v="139.19999999999999"/>
    <x v="21"/>
    <d v="2025-01-23T00:00:00"/>
    <x v="1"/>
    <x v="0"/>
    <x v="1"/>
    <x v="0"/>
    <x v="3"/>
    <x v="3"/>
    <x v="3"/>
    <x v="1"/>
  </r>
  <r>
    <x v="502"/>
    <x v="11"/>
    <x v="0"/>
    <n v="42.4"/>
    <n v="42.4"/>
    <x v="21"/>
    <d v="2025-01-26T00:00:00"/>
    <x v="2"/>
    <x v="1"/>
    <x v="0"/>
    <x v="0"/>
    <x v="3"/>
    <x v="5"/>
    <x v="3"/>
    <x v="2"/>
  </r>
  <r>
    <x v="503"/>
    <x v="17"/>
    <x v="0"/>
    <n v="32.200000000000003"/>
    <n v="32.200000000000003"/>
    <x v="21"/>
    <d v="2025-01-25T00:00:00"/>
    <x v="2"/>
    <x v="2"/>
    <x v="1"/>
    <x v="0"/>
    <x v="3"/>
    <x v="2"/>
    <x v="3"/>
    <x v="2"/>
  </r>
  <r>
    <x v="504"/>
    <x v="6"/>
    <x v="1"/>
    <n v="41.5"/>
    <n v="83"/>
    <x v="21"/>
    <d v="2025-01-25T00:00:00"/>
    <x v="2"/>
    <x v="0"/>
    <x v="2"/>
    <x v="0"/>
    <x v="3"/>
    <x v="2"/>
    <x v="3"/>
    <x v="2"/>
  </r>
  <r>
    <x v="505"/>
    <x v="16"/>
    <x v="11"/>
    <n v="58.9"/>
    <n v="530.1"/>
    <x v="21"/>
    <d v="2025-01-26T00:00:00"/>
    <x v="2"/>
    <x v="3"/>
    <x v="0"/>
    <x v="0"/>
    <x v="3"/>
    <x v="5"/>
    <x v="3"/>
    <x v="2"/>
  </r>
  <r>
    <x v="506"/>
    <x v="2"/>
    <x v="0"/>
    <n v="57.1"/>
    <n v="57.1"/>
    <x v="21"/>
    <d v="2025-01-25T00:00:00"/>
    <x v="2"/>
    <x v="1"/>
    <x v="0"/>
    <x v="0"/>
    <x v="3"/>
    <x v="2"/>
    <x v="3"/>
    <x v="2"/>
  </r>
  <r>
    <x v="507"/>
    <x v="6"/>
    <x v="0"/>
    <n v="57.2"/>
    <n v="57.2"/>
    <x v="21"/>
    <d v="2025-01-24T00:00:00"/>
    <x v="1"/>
    <x v="1"/>
    <x v="0"/>
    <x v="0"/>
    <x v="3"/>
    <x v="1"/>
    <x v="3"/>
    <x v="1"/>
  </r>
  <r>
    <x v="508"/>
    <x v="8"/>
    <x v="1"/>
    <n v="35.1"/>
    <n v="70.2"/>
    <x v="21"/>
    <d v="2025-01-23T00:00:00"/>
    <x v="1"/>
    <x v="1"/>
    <x v="0"/>
    <x v="0"/>
    <x v="6"/>
    <x v="3"/>
    <x v="3"/>
    <x v="1"/>
  </r>
  <r>
    <x v="509"/>
    <x v="1"/>
    <x v="0"/>
    <n v="52.1"/>
    <n v="52.1"/>
    <x v="21"/>
    <d v="2025-01-24T00:00:00"/>
    <x v="2"/>
    <x v="4"/>
    <x v="1"/>
    <x v="0"/>
    <x v="8"/>
    <x v="1"/>
    <x v="3"/>
    <x v="2"/>
  </r>
  <r>
    <x v="510"/>
    <x v="13"/>
    <x v="2"/>
    <n v="59.8"/>
    <n v="179.39999999999998"/>
    <x v="21"/>
    <d v="2025-01-24T00:00:00"/>
    <x v="2"/>
    <x v="4"/>
    <x v="1"/>
    <x v="0"/>
    <x v="8"/>
    <x v="1"/>
    <x v="3"/>
    <x v="2"/>
  </r>
  <r>
    <x v="511"/>
    <x v="3"/>
    <x v="12"/>
    <n v="83.3"/>
    <n v="333.2"/>
    <x v="21"/>
    <d v="2025-01-22T00:00:00"/>
    <x v="0"/>
    <x v="2"/>
    <x v="0"/>
    <x v="0"/>
    <x v="8"/>
    <x v="7"/>
    <x v="3"/>
    <x v="0"/>
  </r>
  <r>
    <x v="512"/>
    <x v="15"/>
    <x v="4"/>
    <n v="41.3"/>
    <n v="495.59999999999997"/>
    <x v="21"/>
    <d v="2025-01-23T00:00:00"/>
    <x v="2"/>
    <x v="1"/>
    <x v="0"/>
    <x v="0"/>
    <x v="8"/>
    <x v="3"/>
    <x v="3"/>
    <x v="2"/>
  </r>
  <r>
    <x v="513"/>
    <x v="8"/>
    <x v="9"/>
    <n v="16"/>
    <n v="80"/>
    <x v="21"/>
    <d v="2025-01-24T00:00:00"/>
    <x v="1"/>
    <x v="4"/>
    <x v="1"/>
    <x v="0"/>
    <x v="9"/>
    <x v="1"/>
    <x v="3"/>
    <x v="1"/>
  </r>
  <r>
    <x v="514"/>
    <x v="10"/>
    <x v="1"/>
    <n v="20.8"/>
    <n v="41.6"/>
    <x v="22"/>
    <d v="2025-01-25T00:00:00"/>
    <x v="1"/>
    <x v="0"/>
    <x v="2"/>
    <x v="0"/>
    <x v="11"/>
    <x v="1"/>
    <x v="3"/>
    <x v="1"/>
  </r>
  <r>
    <x v="515"/>
    <x v="8"/>
    <x v="31"/>
    <n v="27.1"/>
    <n v="758.80000000000007"/>
    <x v="22"/>
    <d v="2025-01-24T00:00:00"/>
    <x v="0"/>
    <x v="3"/>
    <x v="2"/>
    <x v="0"/>
    <x v="11"/>
    <x v="3"/>
    <x v="3"/>
    <x v="0"/>
  </r>
  <r>
    <x v="516"/>
    <x v="10"/>
    <x v="1"/>
    <n v="38.9"/>
    <n v="77.8"/>
    <x v="22"/>
    <d v="2025-01-25T00:00:00"/>
    <x v="2"/>
    <x v="0"/>
    <x v="0"/>
    <x v="0"/>
    <x v="18"/>
    <x v="1"/>
    <x v="3"/>
    <x v="2"/>
  </r>
  <r>
    <x v="517"/>
    <x v="0"/>
    <x v="1"/>
    <n v="10.8"/>
    <n v="21.6"/>
    <x v="22"/>
    <d v="2025-01-26T00:00:00"/>
    <x v="2"/>
    <x v="1"/>
    <x v="2"/>
    <x v="0"/>
    <x v="45"/>
    <x v="2"/>
    <x v="3"/>
    <x v="2"/>
  </r>
  <r>
    <x v="518"/>
    <x v="4"/>
    <x v="15"/>
    <n v="48.4"/>
    <n v="629.19999999999993"/>
    <x v="22"/>
    <d v="2025-01-27T00:00:00"/>
    <x v="2"/>
    <x v="0"/>
    <x v="0"/>
    <x v="0"/>
    <x v="21"/>
    <x v="5"/>
    <x v="3"/>
    <x v="2"/>
  </r>
  <r>
    <x v="519"/>
    <x v="4"/>
    <x v="2"/>
    <n v="29.2"/>
    <n v="87.6"/>
    <x v="22"/>
    <d v="2025-01-26T00:00:00"/>
    <x v="2"/>
    <x v="1"/>
    <x v="1"/>
    <x v="0"/>
    <x v="2"/>
    <x v="2"/>
    <x v="3"/>
    <x v="2"/>
  </r>
  <r>
    <x v="520"/>
    <x v="4"/>
    <x v="1"/>
    <n v="25.1"/>
    <n v="50.2"/>
    <x v="22"/>
    <d v="2025-01-24T00:00:00"/>
    <x v="1"/>
    <x v="0"/>
    <x v="1"/>
    <x v="0"/>
    <x v="2"/>
    <x v="3"/>
    <x v="3"/>
    <x v="1"/>
  </r>
  <r>
    <x v="521"/>
    <x v="7"/>
    <x v="2"/>
    <n v="65.599999999999994"/>
    <n v="196.79999999999998"/>
    <x v="22"/>
    <d v="2025-01-23T00:00:00"/>
    <x v="2"/>
    <x v="2"/>
    <x v="1"/>
    <x v="0"/>
    <x v="3"/>
    <x v="7"/>
    <x v="3"/>
    <x v="2"/>
  </r>
  <r>
    <x v="522"/>
    <x v="2"/>
    <x v="1"/>
    <n v="57.3"/>
    <n v="114.6"/>
    <x v="22"/>
    <d v="2025-01-23T00:00:00"/>
    <x v="0"/>
    <x v="0"/>
    <x v="0"/>
    <x v="0"/>
    <x v="3"/>
    <x v="7"/>
    <x v="3"/>
    <x v="0"/>
  </r>
  <r>
    <x v="523"/>
    <x v="9"/>
    <x v="12"/>
    <n v="22.4"/>
    <n v="89.6"/>
    <x v="22"/>
    <d v="2025-01-24T00:00:00"/>
    <x v="2"/>
    <x v="2"/>
    <x v="2"/>
    <x v="0"/>
    <x v="3"/>
    <x v="3"/>
    <x v="3"/>
    <x v="2"/>
  </r>
  <r>
    <x v="524"/>
    <x v="12"/>
    <x v="11"/>
    <n v="45.7"/>
    <n v="411.3"/>
    <x v="22"/>
    <d v="2025-01-24T00:00:00"/>
    <x v="2"/>
    <x v="0"/>
    <x v="0"/>
    <x v="0"/>
    <x v="3"/>
    <x v="3"/>
    <x v="3"/>
    <x v="2"/>
  </r>
  <r>
    <x v="525"/>
    <x v="8"/>
    <x v="1"/>
    <n v="29.3"/>
    <n v="58.6"/>
    <x v="22"/>
    <d v="2025-01-24T00:00:00"/>
    <x v="1"/>
    <x v="1"/>
    <x v="0"/>
    <x v="0"/>
    <x v="3"/>
    <x v="3"/>
    <x v="3"/>
    <x v="1"/>
  </r>
  <r>
    <x v="526"/>
    <x v="18"/>
    <x v="32"/>
    <n v="74"/>
    <n v="1628"/>
    <x v="22"/>
    <d v="2025-01-24T00:00:00"/>
    <x v="1"/>
    <x v="0"/>
    <x v="2"/>
    <x v="0"/>
    <x v="3"/>
    <x v="3"/>
    <x v="3"/>
    <x v="1"/>
  </r>
  <r>
    <x v="527"/>
    <x v="14"/>
    <x v="1"/>
    <n v="39.200000000000003"/>
    <n v="78.400000000000006"/>
    <x v="22"/>
    <d v="2025-01-25T00:00:00"/>
    <x v="2"/>
    <x v="1"/>
    <x v="0"/>
    <x v="0"/>
    <x v="3"/>
    <x v="1"/>
    <x v="3"/>
    <x v="2"/>
  </r>
  <r>
    <x v="528"/>
    <x v="4"/>
    <x v="14"/>
    <n v="62.7"/>
    <n v="1065.9000000000001"/>
    <x v="22"/>
    <d v="2025-01-24T00:00:00"/>
    <x v="2"/>
    <x v="2"/>
    <x v="1"/>
    <x v="0"/>
    <x v="3"/>
    <x v="3"/>
    <x v="3"/>
    <x v="2"/>
  </r>
  <r>
    <x v="529"/>
    <x v="10"/>
    <x v="1"/>
    <n v="60.1"/>
    <n v="120.2"/>
    <x v="22"/>
    <d v="2025-01-24T00:00:00"/>
    <x v="2"/>
    <x v="3"/>
    <x v="0"/>
    <x v="0"/>
    <x v="3"/>
    <x v="3"/>
    <x v="3"/>
    <x v="2"/>
  </r>
  <r>
    <x v="530"/>
    <x v="0"/>
    <x v="12"/>
    <n v="11.2"/>
    <n v="44.8"/>
    <x v="22"/>
    <d v="2025-01-24T00:00:00"/>
    <x v="2"/>
    <x v="3"/>
    <x v="1"/>
    <x v="0"/>
    <x v="3"/>
    <x v="3"/>
    <x v="3"/>
    <x v="2"/>
  </r>
  <r>
    <x v="531"/>
    <x v="8"/>
    <x v="1"/>
    <n v="22.9"/>
    <n v="45.8"/>
    <x v="22"/>
    <d v="2025-01-24T00:00:00"/>
    <x v="2"/>
    <x v="0"/>
    <x v="0"/>
    <x v="0"/>
    <x v="6"/>
    <x v="3"/>
    <x v="3"/>
    <x v="2"/>
  </r>
  <r>
    <x v="532"/>
    <x v="1"/>
    <x v="1"/>
    <n v="37.6"/>
    <n v="75.2"/>
    <x v="22"/>
    <d v="2025-01-26T00:00:00"/>
    <x v="2"/>
    <x v="0"/>
    <x v="0"/>
    <x v="0"/>
    <x v="6"/>
    <x v="2"/>
    <x v="3"/>
    <x v="2"/>
  </r>
  <r>
    <x v="533"/>
    <x v="6"/>
    <x v="0"/>
    <n v="42.4"/>
    <n v="42.4"/>
    <x v="22"/>
    <d v="2025-01-24T00:00:00"/>
    <x v="2"/>
    <x v="3"/>
    <x v="2"/>
    <x v="0"/>
    <x v="6"/>
    <x v="3"/>
    <x v="3"/>
    <x v="2"/>
  </r>
  <r>
    <x v="534"/>
    <x v="8"/>
    <x v="1"/>
    <n v="19.600000000000001"/>
    <n v="39.200000000000003"/>
    <x v="22"/>
    <d v="2025-01-27T00:00:00"/>
    <x v="2"/>
    <x v="2"/>
    <x v="0"/>
    <x v="0"/>
    <x v="7"/>
    <x v="5"/>
    <x v="3"/>
    <x v="2"/>
  </r>
  <r>
    <x v="535"/>
    <x v="9"/>
    <x v="0"/>
    <n v="90.5"/>
    <n v="90.5"/>
    <x v="22"/>
    <d v="2025-01-26T00:00:00"/>
    <x v="2"/>
    <x v="2"/>
    <x v="0"/>
    <x v="0"/>
    <x v="7"/>
    <x v="2"/>
    <x v="3"/>
    <x v="2"/>
  </r>
  <r>
    <x v="536"/>
    <x v="16"/>
    <x v="5"/>
    <n v="33.9"/>
    <n v="372.9"/>
    <x v="22"/>
    <d v="2025-01-24T00:00:00"/>
    <x v="1"/>
    <x v="2"/>
    <x v="1"/>
    <x v="0"/>
    <x v="7"/>
    <x v="3"/>
    <x v="3"/>
    <x v="1"/>
  </r>
  <r>
    <x v="537"/>
    <x v="0"/>
    <x v="1"/>
    <n v="32.799999999999997"/>
    <n v="65.599999999999994"/>
    <x v="22"/>
    <d v="2025-01-25T00:00:00"/>
    <x v="2"/>
    <x v="4"/>
    <x v="4"/>
    <x v="0"/>
    <x v="8"/>
    <x v="1"/>
    <x v="3"/>
    <x v="2"/>
  </r>
  <r>
    <x v="538"/>
    <x v="15"/>
    <x v="0"/>
    <n v="49.9"/>
    <n v="49.9"/>
    <x v="22"/>
    <d v="2025-01-24T00:00:00"/>
    <x v="1"/>
    <x v="3"/>
    <x v="1"/>
    <x v="0"/>
    <x v="8"/>
    <x v="3"/>
    <x v="3"/>
    <x v="1"/>
  </r>
  <r>
    <x v="539"/>
    <x v="7"/>
    <x v="9"/>
    <n v="79.2"/>
    <n v="396"/>
    <x v="22"/>
    <d v="2025-01-24T00:00:00"/>
    <x v="2"/>
    <x v="4"/>
    <x v="0"/>
    <x v="0"/>
    <x v="8"/>
    <x v="3"/>
    <x v="3"/>
    <x v="2"/>
  </r>
  <r>
    <x v="540"/>
    <x v="8"/>
    <x v="27"/>
    <n v="19.5"/>
    <n v="312"/>
    <x v="22"/>
    <d v="2025-01-25T00:00:00"/>
    <x v="1"/>
    <x v="3"/>
    <x v="2"/>
    <x v="0"/>
    <x v="8"/>
    <x v="1"/>
    <x v="3"/>
    <x v="1"/>
  </r>
  <r>
    <x v="541"/>
    <x v="8"/>
    <x v="12"/>
    <n v="18"/>
    <n v="72"/>
    <x v="22"/>
    <d v="2025-01-24T00:00:00"/>
    <x v="1"/>
    <x v="1"/>
    <x v="0"/>
    <x v="0"/>
    <x v="10"/>
    <x v="3"/>
    <x v="3"/>
    <x v="1"/>
  </r>
  <r>
    <x v="542"/>
    <x v="9"/>
    <x v="2"/>
    <n v="45.9"/>
    <n v="137.69999999999999"/>
    <x v="22"/>
    <d v="2025-01-25T00:00:00"/>
    <x v="2"/>
    <x v="1"/>
    <x v="1"/>
    <x v="0"/>
    <x v="10"/>
    <x v="1"/>
    <x v="3"/>
    <x v="2"/>
  </r>
  <r>
    <x v="543"/>
    <x v="11"/>
    <x v="0"/>
    <n v="41.2"/>
    <n v="41.2"/>
    <x v="22"/>
    <d v="2025-01-25T00:00:00"/>
    <x v="2"/>
    <x v="1"/>
    <x v="2"/>
    <x v="0"/>
    <x v="11"/>
    <x v="1"/>
    <x v="3"/>
    <x v="2"/>
  </r>
  <r>
    <x v="544"/>
    <x v="2"/>
    <x v="7"/>
    <n v="167.2"/>
    <n v="1672"/>
    <x v="22"/>
    <d v="2025-01-25T00:00:00"/>
    <x v="2"/>
    <x v="2"/>
    <x v="2"/>
    <x v="0"/>
    <x v="32"/>
    <x v="1"/>
    <x v="3"/>
    <x v="2"/>
  </r>
  <r>
    <x v="545"/>
    <x v="6"/>
    <x v="17"/>
    <n v="74.5"/>
    <n v="2235"/>
    <x v="23"/>
    <d v="2025-01-27T00:00:00"/>
    <x v="2"/>
    <x v="1"/>
    <x v="2"/>
    <x v="0"/>
    <x v="38"/>
    <x v="2"/>
    <x v="3"/>
    <x v="2"/>
  </r>
  <r>
    <x v="546"/>
    <x v="7"/>
    <x v="12"/>
    <n v="39.299999999999997"/>
    <n v="157.19999999999999"/>
    <x v="23"/>
    <d v="2025-01-25T00:00:00"/>
    <x v="0"/>
    <x v="2"/>
    <x v="0"/>
    <x v="0"/>
    <x v="19"/>
    <x v="3"/>
    <x v="3"/>
    <x v="0"/>
  </r>
  <r>
    <x v="547"/>
    <x v="9"/>
    <x v="0"/>
    <n v="68.5"/>
    <n v="68.5"/>
    <x v="23"/>
    <d v="2025-01-27T00:00:00"/>
    <x v="1"/>
    <x v="1"/>
    <x v="2"/>
    <x v="0"/>
    <x v="12"/>
    <x v="2"/>
    <x v="3"/>
    <x v="1"/>
  </r>
  <r>
    <x v="548"/>
    <x v="0"/>
    <x v="2"/>
    <n v="22.5"/>
    <n v="67.5"/>
    <x v="23"/>
    <d v="2025-01-24T00:00:00"/>
    <x v="2"/>
    <x v="4"/>
    <x v="0"/>
    <x v="0"/>
    <x v="13"/>
    <x v="7"/>
    <x v="3"/>
    <x v="2"/>
  </r>
  <r>
    <x v="549"/>
    <x v="1"/>
    <x v="0"/>
    <n v="48"/>
    <n v="48"/>
    <x v="23"/>
    <d v="2025-01-25T00:00:00"/>
    <x v="3"/>
    <x v="4"/>
    <x v="1"/>
    <x v="0"/>
    <x v="46"/>
    <x v="3"/>
    <x v="3"/>
    <x v="3"/>
  </r>
  <r>
    <x v="550"/>
    <x v="6"/>
    <x v="0"/>
    <n v="94"/>
    <n v="94"/>
    <x v="23"/>
    <d v="2025-01-25T00:00:00"/>
    <x v="1"/>
    <x v="3"/>
    <x v="1"/>
    <x v="0"/>
    <x v="1"/>
    <x v="3"/>
    <x v="3"/>
    <x v="1"/>
  </r>
  <r>
    <x v="551"/>
    <x v="8"/>
    <x v="2"/>
    <n v="21.9"/>
    <n v="65.699999999999989"/>
    <x v="23"/>
    <d v="2025-01-25T00:00:00"/>
    <x v="2"/>
    <x v="0"/>
    <x v="0"/>
    <x v="0"/>
    <x v="44"/>
    <x v="3"/>
    <x v="3"/>
    <x v="2"/>
  </r>
  <r>
    <x v="552"/>
    <x v="6"/>
    <x v="3"/>
    <n v="64.900000000000006"/>
    <n v="454.30000000000007"/>
    <x v="23"/>
    <d v="2025-01-25T00:00:00"/>
    <x v="2"/>
    <x v="0"/>
    <x v="0"/>
    <x v="0"/>
    <x v="3"/>
    <x v="3"/>
    <x v="3"/>
    <x v="2"/>
  </r>
  <r>
    <x v="553"/>
    <x v="12"/>
    <x v="0"/>
    <n v="52.9"/>
    <n v="52.9"/>
    <x v="23"/>
    <d v="2025-01-24T00:00:00"/>
    <x v="2"/>
    <x v="1"/>
    <x v="1"/>
    <x v="0"/>
    <x v="3"/>
    <x v="7"/>
    <x v="3"/>
    <x v="2"/>
  </r>
  <r>
    <x v="554"/>
    <x v="8"/>
    <x v="2"/>
    <n v="25.5"/>
    <n v="76.5"/>
    <x v="23"/>
    <d v="2025-01-25T00:00:00"/>
    <x v="2"/>
    <x v="1"/>
    <x v="2"/>
    <x v="0"/>
    <x v="3"/>
    <x v="3"/>
    <x v="3"/>
    <x v="2"/>
  </r>
  <r>
    <x v="555"/>
    <x v="6"/>
    <x v="2"/>
    <n v="51.9"/>
    <n v="155.69999999999999"/>
    <x v="23"/>
    <d v="2025-01-25T00:00:00"/>
    <x v="2"/>
    <x v="3"/>
    <x v="0"/>
    <x v="0"/>
    <x v="3"/>
    <x v="3"/>
    <x v="3"/>
    <x v="2"/>
  </r>
  <r>
    <x v="556"/>
    <x v="5"/>
    <x v="0"/>
    <n v="46.3"/>
    <n v="46.3"/>
    <x v="23"/>
    <d v="2025-01-27T00:00:00"/>
    <x v="2"/>
    <x v="4"/>
    <x v="0"/>
    <x v="0"/>
    <x v="3"/>
    <x v="2"/>
    <x v="3"/>
    <x v="2"/>
  </r>
  <r>
    <x v="557"/>
    <x v="6"/>
    <x v="1"/>
    <n v="68.2"/>
    <n v="136.4"/>
    <x v="23"/>
    <d v="2025-01-26T00:00:00"/>
    <x v="2"/>
    <x v="3"/>
    <x v="0"/>
    <x v="0"/>
    <x v="3"/>
    <x v="1"/>
    <x v="3"/>
    <x v="2"/>
  </r>
  <r>
    <x v="558"/>
    <x v="1"/>
    <x v="0"/>
    <n v="40.299999999999997"/>
    <n v="40.299999999999997"/>
    <x v="23"/>
    <d v="2025-01-25T00:00:00"/>
    <x v="1"/>
    <x v="0"/>
    <x v="1"/>
    <x v="0"/>
    <x v="3"/>
    <x v="3"/>
    <x v="3"/>
    <x v="1"/>
  </r>
  <r>
    <x v="559"/>
    <x v="2"/>
    <x v="2"/>
    <n v="91.3"/>
    <n v="273.89999999999998"/>
    <x v="23"/>
    <d v="2025-01-29T00:00:00"/>
    <x v="1"/>
    <x v="0"/>
    <x v="2"/>
    <x v="0"/>
    <x v="6"/>
    <x v="0"/>
    <x v="3"/>
    <x v="1"/>
  </r>
  <r>
    <x v="560"/>
    <x v="0"/>
    <x v="2"/>
    <n v="11.9"/>
    <n v="35.700000000000003"/>
    <x v="23"/>
    <d v="2025-01-25T00:00:00"/>
    <x v="2"/>
    <x v="0"/>
    <x v="1"/>
    <x v="0"/>
    <x v="6"/>
    <x v="3"/>
    <x v="3"/>
    <x v="2"/>
  </r>
  <r>
    <x v="561"/>
    <x v="2"/>
    <x v="1"/>
    <n v="63.5"/>
    <n v="127"/>
    <x v="23"/>
    <d v="2025-01-26T00:00:00"/>
    <x v="1"/>
    <x v="1"/>
    <x v="0"/>
    <x v="0"/>
    <x v="6"/>
    <x v="1"/>
    <x v="3"/>
    <x v="1"/>
  </r>
  <r>
    <x v="562"/>
    <x v="4"/>
    <x v="1"/>
    <n v="27.1"/>
    <n v="54.2"/>
    <x v="23"/>
    <d v="2025-01-27T00:00:00"/>
    <x v="1"/>
    <x v="2"/>
    <x v="2"/>
    <x v="0"/>
    <x v="6"/>
    <x v="2"/>
    <x v="3"/>
    <x v="1"/>
  </r>
  <r>
    <x v="563"/>
    <x v="1"/>
    <x v="1"/>
    <n v="82.1"/>
    <n v="164.2"/>
    <x v="24"/>
    <d v="2025-01-28T00:00:00"/>
    <x v="1"/>
    <x v="1"/>
    <x v="1"/>
    <x v="0"/>
    <x v="7"/>
    <x v="2"/>
    <x v="3"/>
    <x v="1"/>
  </r>
  <r>
    <x v="564"/>
    <x v="3"/>
    <x v="9"/>
    <n v="42.9"/>
    <n v="214.5"/>
    <x v="24"/>
    <d v="2025-01-27T00:00:00"/>
    <x v="2"/>
    <x v="1"/>
    <x v="0"/>
    <x v="0"/>
    <x v="8"/>
    <x v="1"/>
    <x v="3"/>
    <x v="2"/>
  </r>
  <r>
    <x v="565"/>
    <x v="8"/>
    <x v="5"/>
    <n v="37.9"/>
    <n v="416.9"/>
    <x v="24"/>
    <d v="2025-02-01T00:00:00"/>
    <x v="1"/>
    <x v="0"/>
    <x v="0"/>
    <x v="0"/>
    <x v="8"/>
    <x v="6"/>
    <x v="3"/>
    <x v="1"/>
  </r>
  <r>
    <x v="566"/>
    <x v="0"/>
    <x v="0"/>
    <n v="22.4"/>
    <n v="22.4"/>
    <x v="24"/>
    <d v="2025-01-26T00:00:00"/>
    <x v="2"/>
    <x v="0"/>
    <x v="1"/>
    <x v="0"/>
    <x v="17"/>
    <x v="3"/>
    <x v="3"/>
    <x v="2"/>
  </r>
  <r>
    <x v="567"/>
    <x v="2"/>
    <x v="15"/>
    <n v="79.900000000000006"/>
    <n v="1038.7"/>
    <x v="24"/>
    <d v="2025-02-07T00:00:00"/>
    <x v="2"/>
    <x v="3"/>
    <x v="1"/>
    <x v="0"/>
    <x v="11"/>
    <x v="10"/>
    <x v="3"/>
    <x v="2"/>
  </r>
  <r>
    <x v="568"/>
    <x v="1"/>
    <x v="0"/>
    <n v="70.599999999999994"/>
    <n v="70.599999999999994"/>
    <x v="24"/>
    <d v="2025-01-28T00:00:00"/>
    <x v="2"/>
    <x v="0"/>
    <x v="1"/>
    <x v="0"/>
    <x v="11"/>
    <x v="2"/>
    <x v="3"/>
    <x v="2"/>
  </r>
  <r>
    <x v="569"/>
    <x v="6"/>
    <x v="0"/>
    <n v="49.5"/>
    <n v="49.5"/>
    <x v="24"/>
    <d v="2025-01-27T00:00:00"/>
    <x v="1"/>
    <x v="0"/>
    <x v="0"/>
    <x v="0"/>
    <x v="13"/>
    <x v="1"/>
    <x v="3"/>
    <x v="1"/>
  </r>
  <r>
    <x v="570"/>
    <x v="2"/>
    <x v="1"/>
    <n v="96.6"/>
    <n v="193.2"/>
    <x v="24"/>
    <d v="2025-01-27T00:00:00"/>
    <x v="1"/>
    <x v="0"/>
    <x v="0"/>
    <x v="0"/>
    <x v="21"/>
    <x v="1"/>
    <x v="3"/>
    <x v="1"/>
  </r>
  <r>
    <x v="571"/>
    <x v="6"/>
    <x v="1"/>
    <n v="52.8"/>
    <n v="105.6"/>
    <x v="24"/>
    <d v="2025-01-26T00:00:00"/>
    <x v="2"/>
    <x v="1"/>
    <x v="1"/>
    <x v="0"/>
    <x v="21"/>
    <x v="3"/>
    <x v="3"/>
    <x v="2"/>
  </r>
  <r>
    <x v="572"/>
    <x v="2"/>
    <x v="0"/>
    <n v="101.7"/>
    <n v="101.7"/>
    <x v="24"/>
    <d v="2025-01-26T00:00:00"/>
    <x v="1"/>
    <x v="0"/>
    <x v="0"/>
    <x v="0"/>
    <x v="1"/>
    <x v="3"/>
    <x v="3"/>
    <x v="1"/>
  </r>
  <r>
    <x v="573"/>
    <x v="4"/>
    <x v="9"/>
    <n v="26.9"/>
    <n v="134.5"/>
    <x v="24"/>
    <d v="2025-01-30T00:00:00"/>
    <x v="2"/>
    <x v="1"/>
    <x v="1"/>
    <x v="0"/>
    <x v="22"/>
    <x v="0"/>
    <x v="3"/>
    <x v="2"/>
  </r>
  <r>
    <x v="574"/>
    <x v="2"/>
    <x v="12"/>
    <n v="211"/>
    <n v="844"/>
    <x v="24"/>
    <d v="2025-01-25T00:00:00"/>
    <x v="2"/>
    <x v="1"/>
    <x v="1"/>
    <x v="0"/>
    <x v="3"/>
    <x v="7"/>
    <x v="3"/>
    <x v="2"/>
  </r>
  <r>
    <x v="575"/>
    <x v="0"/>
    <x v="12"/>
    <n v="21.1"/>
    <n v="84.4"/>
    <x v="24"/>
    <d v="2025-01-28T00:00:00"/>
    <x v="1"/>
    <x v="4"/>
    <x v="0"/>
    <x v="0"/>
    <x v="3"/>
    <x v="2"/>
    <x v="3"/>
    <x v="1"/>
  </r>
  <r>
    <x v="576"/>
    <x v="10"/>
    <x v="0"/>
    <n v="26.6"/>
    <n v="26.6"/>
    <x v="24"/>
    <d v="2025-01-27T00:00:00"/>
    <x v="1"/>
    <x v="0"/>
    <x v="4"/>
    <x v="0"/>
    <x v="3"/>
    <x v="1"/>
    <x v="3"/>
    <x v="1"/>
  </r>
  <r>
    <x v="577"/>
    <x v="12"/>
    <x v="12"/>
    <n v="51.2"/>
    <n v="204.8"/>
    <x v="24"/>
    <d v="2025-01-26T00:00:00"/>
    <x v="2"/>
    <x v="3"/>
    <x v="0"/>
    <x v="0"/>
    <x v="47"/>
    <x v="3"/>
    <x v="3"/>
    <x v="2"/>
  </r>
  <r>
    <x v="578"/>
    <x v="0"/>
    <x v="9"/>
    <n v="10.6"/>
    <n v="53"/>
    <x v="24"/>
    <d v="2025-01-29T00:00:00"/>
    <x v="2"/>
    <x v="0"/>
    <x v="0"/>
    <x v="0"/>
    <x v="8"/>
    <x v="5"/>
    <x v="3"/>
    <x v="2"/>
  </r>
  <r>
    <x v="579"/>
    <x v="6"/>
    <x v="2"/>
    <n v="43.4"/>
    <n v="130.19999999999999"/>
    <x v="24"/>
    <d v="2025-01-28T00:00:00"/>
    <x v="2"/>
    <x v="4"/>
    <x v="0"/>
    <x v="0"/>
    <x v="8"/>
    <x v="2"/>
    <x v="3"/>
    <x v="2"/>
  </r>
  <r>
    <x v="580"/>
    <x v="12"/>
    <x v="0"/>
    <n v="80"/>
    <n v="80"/>
    <x v="24"/>
    <d v="2025-01-25T00:00:00"/>
    <x v="2"/>
    <x v="0"/>
    <x v="2"/>
    <x v="0"/>
    <x v="8"/>
    <x v="7"/>
    <x v="3"/>
    <x v="2"/>
  </r>
  <r>
    <x v="581"/>
    <x v="10"/>
    <x v="12"/>
    <n v="64.7"/>
    <n v="258.8"/>
    <x v="24"/>
    <d v="2025-01-27T00:00:00"/>
    <x v="2"/>
    <x v="1"/>
    <x v="4"/>
    <x v="0"/>
    <x v="8"/>
    <x v="1"/>
    <x v="3"/>
    <x v="2"/>
  </r>
  <r>
    <x v="582"/>
    <x v="8"/>
    <x v="5"/>
    <n v="26.3"/>
    <n v="289.3"/>
    <x v="25"/>
    <d v="2025-01-26T00:00:00"/>
    <x v="2"/>
    <x v="4"/>
    <x v="1"/>
    <x v="0"/>
    <x v="26"/>
    <x v="7"/>
    <x v="4"/>
    <x v="2"/>
  </r>
  <r>
    <x v="583"/>
    <x v="10"/>
    <x v="0"/>
    <n v="28.5"/>
    <n v="28.5"/>
    <x v="25"/>
    <d v="2025-01-26T00:00:00"/>
    <x v="1"/>
    <x v="0"/>
    <x v="1"/>
    <x v="0"/>
    <x v="9"/>
    <x v="7"/>
    <x v="4"/>
    <x v="1"/>
  </r>
  <r>
    <x v="584"/>
    <x v="17"/>
    <x v="0"/>
    <n v="47.8"/>
    <n v="47.8"/>
    <x v="25"/>
    <d v="2025-01-28T00:00:00"/>
    <x v="2"/>
    <x v="0"/>
    <x v="1"/>
    <x v="0"/>
    <x v="9"/>
    <x v="1"/>
    <x v="4"/>
    <x v="2"/>
  </r>
  <r>
    <x v="585"/>
    <x v="10"/>
    <x v="2"/>
    <n v="42.8"/>
    <n v="128.39999999999998"/>
    <x v="25"/>
    <d v="2025-01-29T00:00:00"/>
    <x v="2"/>
    <x v="4"/>
    <x v="1"/>
    <x v="0"/>
    <x v="11"/>
    <x v="2"/>
    <x v="4"/>
    <x v="2"/>
  </r>
  <r>
    <x v="586"/>
    <x v="6"/>
    <x v="9"/>
    <n v="46.8"/>
    <n v="234"/>
    <x v="25"/>
    <d v="2025-01-31T00:00:00"/>
    <x v="2"/>
    <x v="1"/>
    <x v="2"/>
    <x v="0"/>
    <x v="11"/>
    <x v="0"/>
    <x v="4"/>
    <x v="2"/>
  </r>
  <r>
    <x v="587"/>
    <x v="1"/>
    <x v="7"/>
    <n v="64.099999999999994"/>
    <n v="641"/>
    <x v="25"/>
    <d v="2025-01-27T00:00:00"/>
    <x v="1"/>
    <x v="1"/>
    <x v="0"/>
    <x v="0"/>
    <x v="11"/>
    <x v="3"/>
    <x v="4"/>
    <x v="1"/>
  </r>
  <r>
    <x v="588"/>
    <x v="2"/>
    <x v="0"/>
    <n v="89.1"/>
    <n v="89.1"/>
    <x v="25"/>
    <d v="2025-01-27T00:00:00"/>
    <x v="2"/>
    <x v="0"/>
    <x v="1"/>
    <x v="0"/>
    <x v="20"/>
    <x v="3"/>
    <x v="4"/>
    <x v="2"/>
  </r>
  <r>
    <x v="589"/>
    <x v="2"/>
    <x v="2"/>
    <n v="83.1"/>
    <n v="249.29999999999998"/>
    <x v="25"/>
    <d v="2025-01-27T00:00:00"/>
    <x v="2"/>
    <x v="2"/>
    <x v="1"/>
    <x v="0"/>
    <x v="13"/>
    <x v="3"/>
    <x v="4"/>
    <x v="2"/>
  </r>
  <r>
    <x v="590"/>
    <x v="8"/>
    <x v="2"/>
    <n v="40.9"/>
    <n v="122.69999999999999"/>
    <x v="25"/>
    <d v="2025-01-27T00:00:00"/>
    <x v="1"/>
    <x v="0"/>
    <x v="0"/>
    <x v="0"/>
    <x v="1"/>
    <x v="3"/>
    <x v="4"/>
    <x v="1"/>
  </r>
  <r>
    <x v="591"/>
    <x v="2"/>
    <x v="1"/>
    <n v="125.7"/>
    <n v="251.4"/>
    <x v="25"/>
    <d v="2025-01-27T00:00:00"/>
    <x v="2"/>
    <x v="3"/>
    <x v="0"/>
    <x v="0"/>
    <x v="2"/>
    <x v="3"/>
    <x v="4"/>
    <x v="2"/>
  </r>
  <r>
    <x v="592"/>
    <x v="3"/>
    <x v="1"/>
    <n v="30.9"/>
    <n v="61.8"/>
    <x v="25"/>
    <d v="2025-01-26T00:00:00"/>
    <x v="2"/>
    <x v="2"/>
    <x v="2"/>
    <x v="0"/>
    <x v="22"/>
    <x v="7"/>
    <x v="4"/>
    <x v="2"/>
  </r>
  <r>
    <x v="593"/>
    <x v="8"/>
    <x v="1"/>
    <n v="18.3"/>
    <n v="36.6"/>
    <x v="25"/>
    <d v="2025-01-27T00:00:00"/>
    <x v="2"/>
    <x v="1"/>
    <x v="0"/>
    <x v="0"/>
    <x v="3"/>
    <x v="3"/>
    <x v="4"/>
    <x v="2"/>
  </r>
  <r>
    <x v="594"/>
    <x v="4"/>
    <x v="1"/>
    <n v="56.5"/>
    <n v="113"/>
    <x v="25"/>
    <d v="2025-01-30T00:00:00"/>
    <x v="1"/>
    <x v="2"/>
    <x v="2"/>
    <x v="0"/>
    <x v="3"/>
    <x v="5"/>
    <x v="4"/>
    <x v="1"/>
  </r>
  <r>
    <x v="595"/>
    <x v="10"/>
    <x v="3"/>
    <n v="29.9"/>
    <n v="209.29999999999998"/>
    <x v="25"/>
    <d v="2025-01-28T00:00:00"/>
    <x v="1"/>
    <x v="4"/>
    <x v="2"/>
    <x v="0"/>
    <x v="3"/>
    <x v="1"/>
    <x v="4"/>
    <x v="1"/>
  </r>
  <r>
    <x v="596"/>
    <x v="5"/>
    <x v="1"/>
    <n v="50.4"/>
    <n v="100.8"/>
    <x v="25"/>
    <d v="2025-01-27T00:00:00"/>
    <x v="2"/>
    <x v="2"/>
    <x v="0"/>
    <x v="0"/>
    <x v="3"/>
    <x v="3"/>
    <x v="4"/>
    <x v="2"/>
  </r>
  <r>
    <x v="597"/>
    <x v="2"/>
    <x v="0"/>
    <n v="85.8"/>
    <n v="85.8"/>
    <x v="25"/>
    <d v="2025-01-26T00:00:00"/>
    <x v="2"/>
    <x v="2"/>
    <x v="2"/>
    <x v="0"/>
    <x v="3"/>
    <x v="7"/>
    <x v="4"/>
    <x v="2"/>
  </r>
  <r>
    <x v="598"/>
    <x v="4"/>
    <x v="27"/>
    <n v="66.599999999999994"/>
    <n v="1065.5999999999999"/>
    <x v="25"/>
    <d v="2025-01-28T00:00:00"/>
    <x v="1"/>
    <x v="1"/>
    <x v="0"/>
    <x v="0"/>
    <x v="3"/>
    <x v="1"/>
    <x v="4"/>
    <x v="1"/>
  </r>
  <r>
    <x v="599"/>
    <x v="6"/>
    <x v="12"/>
    <n v="70.3"/>
    <n v="281.2"/>
    <x v="25"/>
    <d v="2025-01-27T00:00:00"/>
    <x v="2"/>
    <x v="0"/>
    <x v="1"/>
    <x v="0"/>
    <x v="3"/>
    <x v="3"/>
    <x v="4"/>
    <x v="2"/>
  </r>
  <r>
    <x v="600"/>
    <x v="8"/>
    <x v="12"/>
    <n v="31"/>
    <n v="124"/>
    <x v="25"/>
    <d v="2025-01-29T00:00:00"/>
    <x v="1"/>
    <x v="0"/>
    <x v="2"/>
    <x v="0"/>
    <x v="3"/>
    <x v="2"/>
    <x v="4"/>
    <x v="1"/>
  </r>
  <r>
    <x v="601"/>
    <x v="7"/>
    <x v="13"/>
    <n v="81.599999999999994"/>
    <n v="489.59999999999997"/>
    <x v="25"/>
    <d v="2025-01-27T00:00:00"/>
    <x v="2"/>
    <x v="1"/>
    <x v="1"/>
    <x v="0"/>
    <x v="37"/>
    <x v="3"/>
    <x v="4"/>
    <x v="2"/>
  </r>
  <r>
    <x v="602"/>
    <x v="1"/>
    <x v="30"/>
    <n v="58.3"/>
    <n v="1457.5"/>
    <x v="25"/>
    <d v="2025-01-27T00:00:00"/>
    <x v="2"/>
    <x v="0"/>
    <x v="0"/>
    <x v="0"/>
    <x v="16"/>
    <x v="3"/>
    <x v="4"/>
    <x v="2"/>
  </r>
  <r>
    <x v="603"/>
    <x v="1"/>
    <x v="12"/>
    <n v="35.1"/>
    <n v="140.4"/>
    <x v="25"/>
    <d v="2025-01-28T00:00:00"/>
    <x v="1"/>
    <x v="0"/>
    <x v="2"/>
    <x v="0"/>
    <x v="8"/>
    <x v="1"/>
    <x v="4"/>
    <x v="1"/>
  </r>
  <r>
    <x v="604"/>
    <x v="2"/>
    <x v="0"/>
    <n v="80.2"/>
    <n v="80.2"/>
    <x v="25"/>
    <d v="2025-01-27T00:00:00"/>
    <x v="1"/>
    <x v="3"/>
    <x v="2"/>
    <x v="0"/>
    <x v="8"/>
    <x v="3"/>
    <x v="4"/>
    <x v="1"/>
  </r>
  <r>
    <x v="605"/>
    <x v="14"/>
    <x v="2"/>
    <n v="39.200000000000003"/>
    <n v="117.60000000000001"/>
    <x v="25"/>
    <d v="2025-01-28T00:00:00"/>
    <x v="2"/>
    <x v="1"/>
    <x v="0"/>
    <x v="0"/>
    <x v="9"/>
    <x v="1"/>
    <x v="4"/>
    <x v="2"/>
  </r>
  <r>
    <x v="606"/>
    <x v="0"/>
    <x v="1"/>
    <n v="15.4"/>
    <n v="30.8"/>
    <x v="25"/>
    <d v="2025-01-26T00:00:00"/>
    <x v="2"/>
    <x v="3"/>
    <x v="0"/>
    <x v="0"/>
    <x v="48"/>
    <x v="7"/>
    <x v="4"/>
    <x v="2"/>
  </r>
  <r>
    <x v="607"/>
    <x v="3"/>
    <x v="2"/>
    <n v="65.400000000000006"/>
    <n v="196.20000000000002"/>
    <x v="25"/>
    <d v="2025-01-29T00:00:00"/>
    <x v="1"/>
    <x v="3"/>
    <x v="0"/>
    <x v="0"/>
    <x v="18"/>
    <x v="2"/>
    <x v="4"/>
    <x v="1"/>
  </r>
  <r>
    <x v="608"/>
    <x v="1"/>
    <x v="8"/>
    <n v="63.2"/>
    <n v="505.6"/>
    <x v="25"/>
    <d v="2025-01-28T00:00:00"/>
    <x v="2"/>
    <x v="1"/>
    <x v="0"/>
    <x v="0"/>
    <x v="19"/>
    <x v="1"/>
    <x v="4"/>
    <x v="2"/>
  </r>
  <r>
    <x v="609"/>
    <x v="1"/>
    <x v="13"/>
    <n v="35.700000000000003"/>
    <n v="214.20000000000002"/>
    <x v="25"/>
    <d v="2025-01-30T00:00:00"/>
    <x v="2"/>
    <x v="4"/>
    <x v="1"/>
    <x v="0"/>
    <x v="19"/>
    <x v="5"/>
    <x v="4"/>
    <x v="2"/>
  </r>
  <r>
    <x v="610"/>
    <x v="0"/>
    <x v="28"/>
    <n v="26.2"/>
    <n v="524"/>
    <x v="25"/>
    <d v="2025-01-27T00:00:00"/>
    <x v="2"/>
    <x v="3"/>
    <x v="0"/>
    <x v="0"/>
    <x v="21"/>
    <x v="3"/>
    <x v="4"/>
    <x v="2"/>
  </r>
  <r>
    <x v="611"/>
    <x v="7"/>
    <x v="1"/>
    <n v="31"/>
    <n v="62"/>
    <x v="25"/>
    <d v="2025-01-27T00:00:00"/>
    <x v="2"/>
    <x v="0"/>
    <x v="2"/>
    <x v="0"/>
    <x v="1"/>
    <x v="3"/>
    <x v="4"/>
    <x v="2"/>
  </r>
  <r>
    <x v="612"/>
    <x v="8"/>
    <x v="12"/>
    <n v="37.700000000000003"/>
    <n v="150.80000000000001"/>
    <x v="25"/>
    <d v="2025-01-27T00:00:00"/>
    <x v="2"/>
    <x v="1"/>
    <x v="0"/>
    <x v="0"/>
    <x v="22"/>
    <x v="3"/>
    <x v="4"/>
    <x v="2"/>
  </r>
  <r>
    <x v="613"/>
    <x v="10"/>
    <x v="33"/>
    <n v="43.6"/>
    <n v="1482.4"/>
    <x v="25"/>
    <d v="2025-01-28T00:00:00"/>
    <x v="2"/>
    <x v="4"/>
    <x v="1"/>
    <x v="0"/>
    <x v="3"/>
    <x v="1"/>
    <x v="4"/>
    <x v="2"/>
  </r>
  <r>
    <x v="614"/>
    <x v="9"/>
    <x v="12"/>
    <n v="26.5"/>
    <n v="106"/>
    <x v="25"/>
    <d v="2025-01-28T00:00:00"/>
    <x v="1"/>
    <x v="0"/>
    <x v="4"/>
    <x v="0"/>
    <x v="3"/>
    <x v="1"/>
    <x v="4"/>
    <x v="1"/>
  </r>
  <r>
    <x v="615"/>
    <x v="0"/>
    <x v="1"/>
    <n v="34.6"/>
    <n v="69.2"/>
    <x v="25"/>
    <d v="2025-01-27T00:00:00"/>
    <x v="1"/>
    <x v="4"/>
    <x v="1"/>
    <x v="0"/>
    <x v="3"/>
    <x v="3"/>
    <x v="4"/>
    <x v="1"/>
  </r>
  <r>
    <x v="616"/>
    <x v="8"/>
    <x v="1"/>
    <n v="58.2"/>
    <n v="116.4"/>
    <x v="25"/>
    <d v="2025-01-27T00:00:00"/>
    <x v="1"/>
    <x v="2"/>
    <x v="2"/>
    <x v="0"/>
    <x v="3"/>
    <x v="3"/>
    <x v="4"/>
    <x v="1"/>
  </r>
  <r>
    <x v="617"/>
    <x v="7"/>
    <x v="0"/>
    <n v="30.2"/>
    <n v="30.2"/>
    <x v="26"/>
    <d v="2025-01-28T00:00:00"/>
    <x v="2"/>
    <x v="2"/>
    <x v="1"/>
    <x v="0"/>
    <x v="3"/>
    <x v="3"/>
    <x v="4"/>
    <x v="2"/>
  </r>
  <r>
    <x v="618"/>
    <x v="1"/>
    <x v="7"/>
    <n v="53.2"/>
    <n v="532"/>
    <x v="26"/>
    <d v="2025-01-28T00:00:00"/>
    <x v="1"/>
    <x v="0"/>
    <x v="2"/>
    <x v="0"/>
    <x v="5"/>
    <x v="3"/>
    <x v="4"/>
    <x v="1"/>
  </r>
  <r>
    <x v="619"/>
    <x v="12"/>
    <x v="13"/>
    <n v="51.1"/>
    <n v="306.60000000000002"/>
    <x v="26"/>
    <d v="2025-01-27T00:00:00"/>
    <x v="1"/>
    <x v="1"/>
    <x v="2"/>
    <x v="0"/>
    <x v="5"/>
    <x v="7"/>
    <x v="4"/>
    <x v="1"/>
  </r>
  <r>
    <x v="620"/>
    <x v="1"/>
    <x v="0"/>
    <n v="105.4"/>
    <n v="105.4"/>
    <x v="26"/>
    <d v="2025-01-31T00:00:00"/>
    <x v="2"/>
    <x v="1"/>
    <x v="2"/>
    <x v="0"/>
    <x v="23"/>
    <x v="5"/>
    <x v="4"/>
    <x v="2"/>
  </r>
  <r>
    <x v="621"/>
    <x v="7"/>
    <x v="0"/>
    <n v="57.7"/>
    <n v="57.7"/>
    <x v="26"/>
    <d v="2025-01-27T00:00:00"/>
    <x v="1"/>
    <x v="0"/>
    <x v="4"/>
    <x v="0"/>
    <x v="8"/>
    <x v="7"/>
    <x v="4"/>
    <x v="1"/>
  </r>
  <r>
    <x v="622"/>
    <x v="15"/>
    <x v="1"/>
    <n v="72.400000000000006"/>
    <n v="144.80000000000001"/>
    <x v="26"/>
    <d v="2025-02-01T00:00:00"/>
    <x v="2"/>
    <x v="0"/>
    <x v="0"/>
    <x v="0"/>
    <x v="17"/>
    <x v="0"/>
    <x v="4"/>
    <x v="2"/>
  </r>
  <r>
    <x v="623"/>
    <x v="6"/>
    <x v="1"/>
    <n v="62.5"/>
    <n v="125"/>
    <x v="26"/>
    <d v="2025-01-28T00:00:00"/>
    <x v="0"/>
    <x v="0"/>
    <x v="2"/>
    <x v="0"/>
    <x v="11"/>
    <x v="3"/>
    <x v="4"/>
    <x v="0"/>
  </r>
  <r>
    <x v="624"/>
    <x v="0"/>
    <x v="32"/>
    <n v="11.6"/>
    <n v="255.2"/>
    <x v="26"/>
    <d v="2025-01-29T00:00:00"/>
    <x v="2"/>
    <x v="3"/>
    <x v="2"/>
    <x v="0"/>
    <x v="18"/>
    <x v="1"/>
    <x v="4"/>
    <x v="2"/>
  </r>
  <r>
    <x v="625"/>
    <x v="10"/>
    <x v="7"/>
    <n v="39.6"/>
    <n v="396"/>
    <x v="26"/>
    <d v="2025-01-29T00:00:00"/>
    <x v="2"/>
    <x v="2"/>
    <x v="2"/>
    <x v="0"/>
    <x v="18"/>
    <x v="1"/>
    <x v="4"/>
    <x v="2"/>
  </r>
  <r>
    <x v="626"/>
    <x v="8"/>
    <x v="1"/>
    <n v="40.1"/>
    <n v="80.2"/>
    <x v="26"/>
    <d v="2025-01-28T00:00:00"/>
    <x v="2"/>
    <x v="2"/>
    <x v="0"/>
    <x v="0"/>
    <x v="18"/>
    <x v="3"/>
    <x v="4"/>
    <x v="2"/>
  </r>
  <r>
    <x v="627"/>
    <x v="8"/>
    <x v="2"/>
    <n v="18.600000000000001"/>
    <n v="55.800000000000004"/>
    <x v="26"/>
    <d v="2025-01-28T00:00:00"/>
    <x v="2"/>
    <x v="2"/>
    <x v="0"/>
    <x v="0"/>
    <x v="21"/>
    <x v="3"/>
    <x v="4"/>
    <x v="2"/>
  </r>
  <r>
    <x v="628"/>
    <x v="4"/>
    <x v="0"/>
    <n v="58.8"/>
    <n v="58.8"/>
    <x v="26"/>
    <d v="2025-01-29T00:00:00"/>
    <x v="2"/>
    <x v="0"/>
    <x v="1"/>
    <x v="0"/>
    <x v="21"/>
    <x v="1"/>
    <x v="4"/>
    <x v="2"/>
  </r>
  <r>
    <x v="629"/>
    <x v="8"/>
    <x v="1"/>
    <n v="22.1"/>
    <n v="44.2"/>
    <x v="26"/>
    <d v="2025-01-30T00:00:00"/>
    <x v="1"/>
    <x v="1"/>
    <x v="2"/>
    <x v="0"/>
    <x v="21"/>
    <x v="2"/>
    <x v="4"/>
    <x v="1"/>
  </r>
  <r>
    <x v="630"/>
    <x v="2"/>
    <x v="0"/>
    <n v="114.9"/>
    <n v="114.9"/>
    <x v="27"/>
    <d v="2025-01-29T00:00:00"/>
    <x v="2"/>
    <x v="1"/>
    <x v="1"/>
    <x v="0"/>
    <x v="22"/>
    <x v="3"/>
    <x v="4"/>
    <x v="2"/>
  </r>
  <r>
    <x v="631"/>
    <x v="9"/>
    <x v="9"/>
    <n v="75.8"/>
    <n v="379"/>
    <x v="27"/>
    <d v="2025-01-29T00:00:00"/>
    <x v="1"/>
    <x v="0"/>
    <x v="2"/>
    <x v="0"/>
    <x v="3"/>
    <x v="3"/>
    <x v="4"/>
    <x v="1"/>
  </r>
  <r>
    <x v="632"/>
    <x v="14"/>
    <x v="9"/>
    <n v="20.6"/>
    <n v="103"/>
    <x v="27"/>
    <d v="2025-01-29T00:00:00"/>
    <x v="1"/>
    <x v="2"/>
    <x v="2"/>
    <x v="0"/>
    <x v="3"/>
    <x v="3"/>
    <x v="4"/>
    <x v="1"/>
  </r>
  <r>
    <x v="633"/>
    <x v="17"/>
    <x v="2"/>
    <n v="67.900000000000006"/>
    <n v="203.70000000000002"/>
    <x v="27"/>
    <d v="2025-01-29T00:00:00"/>
    <x v="2"/>
    <x v="1"/>
    <x v="1"/>
    <x v="0"/>
    <x v="3"/>
    <x v="3"/>
    <x v="4"/>
    <x v="2"/>
  </r>
  <r>
    <x v="634"/>
    <x v="0"/>
    <x v="9"/>
    <n v="27"/>
    <n v="135"/>
    <x v="27"/>
    <d v="2025-02-04T00:00:00"/>
    <x v="2"/>
    <x v="0"/>
    <x v="2"/>
    <x v="0"/>
    <x v="3"/>
    <x v="6"/>
    <x v="4"/>
    <x v="2"/>
  </r>
  <r>
    <x v="635"/>
    <x v="13"/>
    <x v="0"/>
    <n v="50.6"/>
    <n v="50.6"/>
    <x v="27"/>
    <d v="2025-01-28T00:00:00"/>
    <x v="1"/>
    <x v="0"/>
    <x v="1"/>
    <x v="0"/>
    <x v="3"/>
    <x v="7"/>
    <x v="4"/>
    <x v="1"/>
  </r>
  <r>
    <x v="636"/>
    <x v="4"/>
    <x v="9"/>
    <n v="22.1"/>
    <n v="110.5"/>
    <x v="27"/>
    <d v="2025-02-02T00:00:00"/>
    <x v="1"/>
    <x v="0"/>
    <x v="0"/>
    <x v="0"/>
    <x v="3"/>
    <x v="0"/>
    <x v="4"/>
    <x v="1"/>
  </r>
  <r>
    <x v="637"/>
    <x v="8"/>
    <x v="2"/>
    <n v="42.9"/>
    <n v="128.69999999999999"/>
    <x v="27"/>
    <d v="2025-01-30T00:00:00"/>
    <x v="2"/>
    <x v="0"/>
    <x v="0"/>
    <x v="0"/>
    <x v="3"/>
    <x v="1"/>
    <x v="4"/>
    <x v="2"/>
  </r>
  <r>
    <x v="638"/>
    <x v="1"/>
    <x v="5"/>
    <n v="62.4"/>
    <n v="686.4"/>
    <x v="27"/>
    <d v="2025-01-30T00:00:00"/>
    <x v="2"/>
    <x v="2"/>
    <x v="0"/>
    <x v="0"/>
    <x v="3"/>
    <x v="1"/>
    <x v="4"/>
    <x v="2"/>
  </r>
  <r>
    <x v="639"/>
    <x v="13"/>
    <x v="11"/>
    <n v="36.4"/>
    <n v="327.59999999999997"/>
    <x v="27"/>
    <d v="2025-01-30T00:00:00"/>
    <x v="2"/>
    <x v="0"/>
    <x v="2"/>
    <x v="0"/>
    <x v="3"/>
    <x v="1"/>
    <x v="4"/>
    <x v="2"/>
  </r>
  <r>
    <x v="640"/>
    <x v="0"/>
    <x v="1"/>
    <n v="22.5"/>
    <n v="45"/>
    <x v="27"/>
    <d v="2025-01-31T00:00:00"/>
    <x v="1"/>
    <x v="0"/>
    <x v="0"/>
    <x v="0"/>
    <x v="3"/>
    <x v="2"/>
    <x v="4"/>
    <x v="1"/>
  </r>
  <r>
    <x v="641"/>
    <x v="6"/>
    <x v="12"/>
    <n v="70.8"/>
    <n v="283.2"/>
    <x v="27"/>
    <d v="2025-01-30T00:00:00"/>
    <x v="2"/>
    <x v="4"/>
    <x v="0"/>
    <x v="0"/>
    <x v="3"/>
    <x v="1"/>
    <x v="4"/>
    <x v="2"/>
  </r>
  <r>
    <x v="642"/>
    <x v="6"/>
    <x v="9"/>
    <n v="56.6"/>
    <n v="283"/>
    <x v="27"/>
    <d v="2025-01-30T00:00:00"/>
    <x v="1"/>
    <x v="0"/>
    <x v="1"/>
    <x v="0"/>
    <x v="4"/>
    <x v="1"/>
    <x v="4"/>
    <x v="1"/>
  </r>
  <r>
    <x v="643"/>
    <x v="6"/>
    <x v="1"/>
    <n v="47.9"/>
    <n v="95.8"/>
    <x v="27"/>
    <d v="2025-01-29T00:00:00"/>
    <x v="2"/>
    <x v="0"/>
    <x v="0"/>
    <x v="0"/>
    <x v="6"/>
    <x v="3"/>
    <x v="4"/>
    <x v="2"/>
  </r>
  <r>
    <x v="644"/>
    <x v="6"/>
    <x v="8"/>
    <n v="78.400000000000006"/>
    <n v="627.20000000000005"/>
    <x v="27"/>
    <d v="2025-01-30T00:00:00"/>
    <x v="2"/>
    <x v="1"/>
    <x v="0"/>
    <x v="0"/>
    <x v="6"/>
    <x v="1"/>
    <x v="4"/>
    <x v="2"/>
  </r>
  <r>
    <x v="645"/>
    <x v="2"/>
    <x v="21"/>
    <n v="122.1"/>
    <n v="1709.3999999999999"/>
    <x v="27"/>
    <d v="2025-02-02T00:00:00"/>
    <x v="2"/>
    <x v="0"/>
    <x v="2"/>
    <x v="0"/>
    <x v="6"/>
    <x v="0"/>
    <x v="4"/>
    <x v="2"/>
  </r>
  <r>
    <x v="646"/>
    <x v="2"/>
    <x v="1"/>
    <n v="83.7"/>
    <n v="167.4"/>
    <x v="28"/>
    <d v="2025-01-29T00:00:00"/>
    <x v="0"/>
    <x v="1"/>
    <x v="2"/>
    <x v="0"/>
    <x v="7"/>
    <x v="7"/>
    <x v="4"/>
    <x v="0"/>
  </r>
  <r>
    <x v="647"/>
    <x v="3"/>
    <x v="12"/>
    <n v="97.9"/>
    <n v="391.6"/>
    <x v="28"/>
    <d v="2025-02-02T00:00:00"/>
    <x v="2"/>
    <x v="3"/>
    <x v="2"/>
    <x v="0"/>
    <x v="7"/>
    <x v="5"/>
    <x v="4"/>
    <x v="2"/>
  </r>
  <r>
    <x v="648"/>
    <x v="14"/>
    <x v="0"/>
    <n v="15"/>
    <n v="15"/>
    <x v="28"/>
    <d v="2025-02-03T00:00:00"/>
    <x v="2"/>
    <x v="3"/>
    <x v="0"/>
    <x v="0"/>
    <x v="8"/>
    <x v="0"/>
    <x v="4"/>
    <x v="2"/>
  </r>
  <r>
    <x v="649"/>
    <x v="12"/>
    <x v="2"/>
    <n v="94.6"/>
    <n v="283.79999999999995"/>
    <x v="28"/>
    <d v="2025-01-30T00:00:00"/>
    <x v="1"/>
    <x v="2"/>
    <x v="1"/>
    <x v="0"/>
    <x v="8"/>
    <x v="3"/>
    <x v="4"/>
    <x v="1"/>
  </r>
  <r>
    <x v="650"/>
    <x v="0"/>
    <x v="13"/>
    <n v="19.7"/>
    <n v="118.19999999999999"/>
    <x v="28"/>
    <d v="2025-02-09T00:00:00"/>
    <x v="2"/>
    <x v="0"/>
    <x v="2"/>
    <x v="0"/>
    <x v="8"/>
    <x v="11"/>
    <x v="4"/>
    <x v="2"/>
  </r>
  <r>
    <x v="651"/>
    <x v="7"/>
    <x v="0"/>
    <n v="46.7"/>
    <n v="46.7"/>
    <x v="28"/>
    <d v="2025-02-01T00:00:00"/>
    <x v="2"/>
    <x v="2"/>
    <x v="0"/>
    <x v="0"/>
    <x v="17"/>
    <x v="2"/>
    <x v="4"/>
    <x v="2"/>
  </r>
  <r>
    <x v="652"/>
    <x v="1"/>
    <x v="12"/>
    <n v="43"/>
    <n v="172"/>
    <x v="28"/>
    <d v="2025-01-30T00:00:00"/>
    <x v="1"/>
    <x v="2"/>
    <x v="2"/>
    <x v="0"/>
    <x v="17"/>
    <x v="3"/>
    <x v="4"/>
    <x v="1"/>
  </r>
  <r>
    <x v="653"/>
    <x v="6"/>
    <x v="2"/>
    <n v="68.2"/>
    <n v="204.60000000000002"/>
    <x v="28"/>
    <d v="2025-02-04T00:00:00"/>
    <x v="2"/>
    <x v="0"/>
    <x v="0"/>
    <x v="0"/>
    <x v="9"/>
    <x v="4"/>
    <x v="4"/>
    <x v="2"/>
  </r>
  <r>
    <x v="654"/>
    <x v="10"/>
    <x v="7"/>
    <n v="24.3"/>
    <n v="243"/>
    <x v="28"/>
    <d v="2025-01-30T00:00:00"/>
    <x v="1"/>
    <x v="0"/>
    <x v="2"/>
    <x v="0"/>
    <x v="10"/>
    <x v="3"/>
    <x v="4"/>
    <x v="1"/>
  </r>
  <r>
    <x v="655"/>
    <x v="7"/>
    <x v="1"/>
    <n v="86.8"/>
    <n v="173.6"/>
    <x v="28"/>
    <d v="2025-02-02T00:00:00"/>
    <x v="2"/>
    <x v="4"/>
    <x v="2"/>
    <x v="0"/>
    <x v="11"/>
    <x v="5"/>
    <x v="4"/>
    <x v="2"/>
  </r>
  <r>
    <x v="656"/>
    <x v="0"/>
    <x v="1"/>
    <n v="15.8"/>
    <n v="31.6"/>
    <x v="28"/>
    <d v="2025-01-31T00:00:00"/>
    <x v="1"/>
    <x v="1"/>
    <x v="0"/>
    <x v="0"/>
    <x v="11"/>
    <x v="1"/>
    <x v="4"/>
    <x v="1"/>
  </r>
  <r>
    <x v="657"/>
    <x v="2"/>
    <x v="12"/>
    <n v="61.6"/>
    <n v="246.4"/>
    <x v="28"/>
    <d v="2025-01-30T00:00:00"/>
    <x v="1"/>
    <x v="2"/>
    <x v="0"/>
    <x v="0"/>
    <x v="11"/>
    <x v="3"/>
    <x v="4"/>
    <x v="1"/>
  </r>
  <r>
    <x v="658"/>
    <x v="6"/>
    <x v="2"/>
    <n v="48.7"/>
    <n v="146.10000000000002"/>
    <x v="28"/>
    <d v="2025-02-04T00:00:00"/>
    <x v="2"/>
    <x v="1"/>
    <x v="2"/>
    <x v="0"/>
    <x v="45"/>
    <x v="4"/>
    <x v="4"/>
    <x v="2"/>
  </r>
  <r>
    <x v="659"/>
    <x v="8"/>
    <x v="12"/>
    <n v="24.3"/>
    <n v="97.2"/>
    <x v="28"/>
    <d v="2025-01-31T00:00:00"/>
    <x v="2"/>
    <x v="1"/>
    <x v="2"/>
    <x v="0"/>
    <x v="21"/>
    <x v="1"/>
    <x v="4"/>
    <x v="2"/>
  </r>
  <r>
    <x v="660"/>
    <x v="2"/>
    <x v="1"/>
    <n v="130.69999999999999"/>
    <n v="261.39999999999998"/>
    <x v="28"/>
    <d v="2025-01-30T00:00:00"/>
    <x v="2"/>
    <x v="2"/>
    <x v="0"/>
    <x v="0"/>
    <x v="44"/>
    <x v="3"/>
    <x v="4"/>
    <x v="2"/>
  </r>
  <r>
    <x v="661"/>
    <x v="10"/>
    <x v="0"/>
    <n v="26"/>
    <n v="26"/>
    <x v="28"/>
    <d v="2025-01-31T00:00:00"/>
    <x v="1"/>
    <x v="0"/>
    <x v="0"/>
    <x v="0"/>
    <x v="3"/>
    <x v="1"/>
    <x v="4"/>
    <x v="1"/>
  </r>
  <r>
    <x v="662"/>
    <x v="2"/>
    <x v="9"/>
    <n v="94.4"/>
    <n v="472"/>
    <x v="28"/>
    <d v="2025-01-30T00:00:00"/>
    <x v="2"/>
    <x v="0"/>
    <x v="0"/>
    <x v="0"/>
    <x v="3"/>
    <x v="3"/>
    <x v="4"/>
    <x v="2"/>
  </r>
  <r>
    <x v="663"/>
    <x v="0"/>
    <x v="13"/>
    <n v="23.7"/>
    <n v="142.19999999999999"/>
    <x v="28"/>
    <d v="2025-01-31T00:00:00"/>
    <x v="1"/>
    <x v="2"/>
    <x v="2"/>
    <x v="0"/>
    <x v="3"/>
    <x v="1"/>
    <x v="4"/>
    <x v="1"/>
  </r>
  <r>
    <x v="664"/>
    <x v="9"/>
    <x v="4"/>
    <n v="37.4"/>
    <n v="448.79999999999995"/>
    <x v="28"/>
    <d v="2025-01-31T00:00:00"/>
    <x v="1"/>
    <x v="2"/>
    <x v="0"/>
    <x v="0"/>
    <x v="3"/>
    <x v="1"/>
    <x v="4"/>
    <x v="1"/>
  </r>
  <r>
    <x v="665"/>
    <x v="1"/>
    <x v="34"/>
    <n v="55.2"/>
    <n v="1987.2"/>
    <x v="28"/>
    <d v="2025-01-29T00:00:00"/>
    <x v="2"/>
    <x v="3"/>
    <x v="1"/>
    <x v="0"/>
    <x v="3"/>
    <x v="7"/>
    <x v="4"/>
    <x v="2"/>
  </r>
  <r>
    <x v="666"/>
    <x v="2"/>
    <x v="11"/>
    <n v="57.1"/>
    <n v="513.9"/>
    <x v="28"/>
    <d v="2025-01-31T00:00:00"/>
    <x v="1"/>
    <x v="0"/>
    <x v="2"/>
    <x v="0"/>
    <x v="3"/>
    <x v="1"/>
    <x v="4"/>
    <x v="1"/>
  </r>
  <r>
    <x v="667"/>
    <x v="12"/>
    <x v="0"/>
    <n v="55.3"/>
    <n v="55.3"/>
    <x v="28"/>
    <d v="2025-01-30T00:00:00"/>
    <x v="2"/>
    <x v="2"/>
    <x v="2"/>
    <x v="0"/>
    <x v="3"/>
    <x v="3"/>
    <x v="4"/>
    <x v="2"/>
  </r>
  <r>
    <x v="668"/>
    <x v="15"/>
    <x v="3"/>
    <n v="23.9"/>
    <n v="167.29999999999998"/>
    <x v="28"/>
    <d v="2025-01-30T00:00:00"/>
    <x v="2"/>
    <x v="4"/>
    <x v="1"/>
    <x v="0"/>
    <x v="3"/>
    <x v="3"/>
    <x v="4"/>
    <x v="2"/>
  </r>
  <r>
    <x v="669"/>
    <x v="0"/>
    <x v="0"/>
    <n v="34.1"/>
    <n v="34.1"/>
    <x v="28"/>
    <d v="2025-02-05T00:00:00"/>
    <x v="2"/>
    <x v="2"/>
    <x v="0"/>
    <x v="0"/>
    <x v="3"/>
    <x v="6"/>
    <x v="4"/>
    <x v="2"/>
  </r>
  <r>
    <x v="670"/>
    <x v="12"/>
    <x v="12"/>
    <n v="38.5"/>
    <n v="154"/>
    <x v="28"/>
    <d v="2025-02-09T00:00:00"/>
    <x v="2"/>
    <x v="0"/>
    <x v="0"/>
    <x v="0"/>
    <x v="3"/>
    <x v="11"/>
    <x v="4"/>
    <x v="2"/>
  </r>
  <r>
    <x v="671"/>
    <x v="7"/>
    <x v="1"/>
    <n v="105"/>
    <n v="210"/>
    <x v="28"/>
    <d v="2025-02-04T00:00:00"/>
    <x v="2"/>
    <x v="0"/>
    <x v="2"/>
    <x v="0"/>
    <x v="3"/>
    <x v="4"/>
    <x v="4"/>
    <x v="2"/>
  </r>
  <r>
    <x v="672"/>
    <x v="8"/>
    <x v="9"/>
    <n v="45.2"/>
    <n v="226"/>
    <x v="28"/>
    <d v="2025-01-31T00:00:00"/>
    <x v="2"/>
    <x v="0"/>
    <x v="2"/>
    <x v="0"/>
    <x v="3"/>
    <x v="1"/>
    <x v="4"/>
    <x v="2"/>
  </r>
  <r>
    <x v="673"/>
    <x v="17"/>
    <x v="2"/>
    <n v="24.8"/>
    <n v="74.400000000000006"/>
    <x v="28"/>
    <d v="2025-01-29T00:00:00"/>
    <x v="0"/>
    <x v="0"/>
    <x v="1"/>
    <x v="0"/>
    <x v="3"/>
    <x v="7"/>
    <x v="4"/>
    <x v="0"/>
  </r>
  <r>
    <x v="674"/>
    <x v="11"/>
    <x v="12"/>
    <n v="43.8"/>
    <n v="175.2"/>
    <x v="28"/>
    <d v="2025-02-05T00:00:00"/>
    <x v="2"/>
    <x v="1"/>
    <x v="2"/>
    <x v="0"/>
    <x v="6"/>
    <x v="6"/>
    <x v="4"/>
    <x v="2"/>
  </r>
  <r>
    <x v="675"/>
    <x v="1"/>
    <x v="0"/>
    <n v="75"/>
    <n v="75"/>
    <x v="28"/>
    <d v="2025-01-31T00:00:00"/>
    <x v="2"/>
    <x v="4"/>
    <x v="1"/>
    <x v="0"/>
    <x v="6"/>
    <x v="1"/>
    <x v="4"/>
    <x v="2"/>
  </r>
  <r>
    <x v="676"/>
    <x v="2"/>
    <x v="0"/>
    <n v="169.9"/>
    <n v="169.9"/>
    <x v="28"/>
    <d v="2025-01-30T00:00:00"/>
    <x v="1"/>
    <x v="2"/>
    <x v="0"/>
    <x v="0"/>
    <x v="6"/>
    <x v="3"/>
    <x v="4"/>
    <x v="1"/>
  </r>
  <r>
    <x v="677"/>
    <x v="9"/>
    <x v="1"/>
    <n v="72.2"/>
    <n v="144.4"/>
    <x v="28"/>
    <d v="2025-01-31T00:00:00"/>
    <x v="2"/>
    <x v="4"/>
    <x v="1"/>
    <x v="0"/>
    <x v="6"/>
    <x v="1"/>
    <x v="4"/>
    <x v="2"/>
  </r>
  <r>
    <x v="678"/>
    <x v="0"/>
    <x v="0"/>
    <n v="20"/>
    <n v="20"/>
    <x v="29"/>
    <d v="2025-02-02T00:00:00"/>
    <x v="2"/>
    <x v="2"/>
    <x v="1"/>
    <x v="0"/>
    <x v="7"/>
    <x v="2"/>
    <x v="4"/>
    <x v="2"/>
  </r>
  <r>
    <x v="679"/>
    <x v="9"/>
    <x v="1"/>
    <n v="40.799999999999997"/>
    <n v="81.599999999999994"/>
    <x v="29"/>
    <d v="2025-02-01T00:00:00"/>
    <x v="2"/>
    <x v="3"/>
    <x v="2"/>
    <x v="0"/>
    <x v="8"/>
    <x v="1"/>
    <x v="4"/>
    <x v="2"/>
  </r>
  <r>
    <x v="680"/>
    <x v="10"/>
    <x v="12"/>
    <n v="58"/>
    <n v="232"/>
    <x v="29"/>
    <d v="2025-02-03T00:00:00"/>
    <x v="2"/>
    <x v="0"/>
    <x v="0"/>
    <x v="0"/>
    <x v="8"/>
    <x v="5"/>
    <x v="4"/>
    <x v="2"/>
  </r>
  <r>
    <x v="681"/>
    <x v="12"/>
    <x v="1"/>
    <n v="43.1"/>
    <n v="86.2"/>
    <x v="29"/>
    <d v="2025-01-31T00:00:00"/>
    <x v="2"/>
    <x v="1"/>
    <x v="2"/>
    <x v="0"/>
    <x v="8"/>
    <x v="3"/>
    <x v="4"/>
    <x v="2"/>
  </r>
  <r>
    <x v="682"/>
    <x v="6"/>
    <x v="11"/>
    <n v="74.7"/>
    <n v="672.30000000000007"/>
    <x v="29"/>
    <d v="2025-02-01T00:00:00"/>
    <x v="1"/>
    <x v="0"/>
    <x v="2"/>
    <x v="0"/>
    <x v="8"/>
    <x v="1"/>
    <x v="4"/>
    <x v="1"/>
  </r>
  <r>
    <x v="683"/>
    <x v="6"/>
    <x v="0"/>
    <n v="128.19999999999999"/>
    <n v="128.19999999999999"/>
    <x v="29"/>
    <d v="2025-01-30T00:00:00"/>
    <x v="1"/>
    <x v="1"/>
    <x v="0"/>
    <x v="0"/>
    <x v="8"/>
    <x v="7"/>
    <x v="4"/>
    <x v="1"/>
  </r>
  <r>
    <x v="684"/>
    <x v="14"/>
    <x v="12"/>
    <n v="26.7"/>
    <n v="106.8"/>
    <x v="29"/>
    <d v="2025-01-31T00:00:00"/>
    <x v="1"/>
    <x v="1"/>
    <x v="0"/>
    <x v="0"/>
    <x v="8"/>
    <x v="3"/>
    <x v="4"/>
    <x v="1"/>
  </r>
  <r>
    <x v="685"/>
    <x v="17"/>
    <x v="13"/>
    <n v="31.5"/>
    <n v="189"/>
    <x v="29"/>
    <d v="2025-01-31T00:00:00"/>
    <x v="2"/>
    <x v="2"/>
    <x v="0"/>
    <x v="0"/>
    <x v="17"/>
    <x v="3"/>
    <x v="4"/>
    <x v="2"/>
  </r>
  <r>
    <x v="686"/>
    <x v="3"/>
    <x v="3"/>
    <n v="64.7"/>
    <n v="452.90000000000003"/>
    <x v="29"/>
    <d v="2025-01-31T00:00:00"/>
    <x v="2"/>
    <x v="0"/>
    <x v="2"/>
    <x v="0"/>
    <x v="9"/>
    <x v="3"/>
    <x v="4"/>
    <x v="2"/>
  </r>
  <r>
    <x v="687"/>
    <x v="5"/>
    <x v="1"/>
    <n v="55.6"/>
    <n v="111.2"/>
    <x v="29"/>
    <d v="2025-02-02T00:00:00"/>
    <x v="2"/>
    <x v="3"/>
    <x v="0"/>
    <x v="0"/>
    <x v="11"/>
    <x v="2"/>
    <x v="4"/>
    <x v="2"/>
  </r>
  <r>
    <x v="688"/>
    <x v="3"/>
    <x v="1"/>
    <n v="36.200000000000003"/>
    <n v="72.400000000000006"/>
    <x v="29"/>
    <d v="2025-01-31T00:00:00"/>
    <x v="2"/>
    <x v="3"/>
    <x v="0"/>
    <x v="0"/>
    <x v="11"/>
    <x v="3"/>
    <x v="4"/>
    <x v="2"/>
  </r>
  <r>
    <x v="689"/>
    <x v="0"/>
    <x v="0"/>
    <n v="26.6"/>
    <n v="26.6"/>
    <x v="29"/>
    <d v="2025-01-31T00:00:00"/>
    <x v="0"/>
    <x v="1"/>
    <x v="1"/>
    <x v="0"/>
    <x v="19"/>
    <x v="3"/>
    <x v="4"/>
    <x v="0"/>
  </r>
  <r>
    <x v="690"/>
    <x v="10"/>
    <x v="12"/>
    <n v="31.5"/>
    <n v="126"/>
    <x v="29"/>
    <d v="2025-02-01T00:00:00"/>
    <x v="1"/>
    <x v="0"/>
    <x v="0"/>
    <x v="0"/>
    <x v="31"/>
    <x v="1"/>
    <x v="4"/>
    <x v="1"/>
  </r>
  <r>
    <x v="691"/>
    <x v="10"/>
    <x v="0"/>
    <n v="27"/>
    <n v="27"/>
    <x v="29"/>
    <d v="2025-02-01T00:00:00"/>
    <x v="2"/>
    <x v="1"/>
    <x v="2"/>
    <x v="0"/>
    <x v="13"/>
    <x v="1"/>
    <x v="4"/>
    <x v="2"/>
  </r>
  <r>
    <x v="692"/>
    <x v="4"/>
    <x v="0"/>
    <n v="32"/>
    <n v="32"/>
    <x v="29"/>
    <d v="2025-02-02T00:00:00"/>
    <x v="1"/>
    <x v="3"/>
    <x v="0"/>
    <x v="0"/>
    <x v="21"/>
    <x v="2"/>
    <x v="4"/>
    <x v="1"/>
  </r>
  <r>
    <x v="693"/>
    <x v="1"/>
    <x v="2"/>
    <n v="48.1"/>
    <n v="144.30000000000001"/>
    <x v="29"/>
    <d v="2025-02-01T00:00:00"/>
    <x v="1"/>
    <x v="2"/>
    <x v="1"/>
    <x v="0"/>
    <x v="1"/>
    <x v="1"/>
    <x v="4"/>
    <x v="1"/>
  </r>
  <r>
    <x v="694"/>
    <x v="9"/>
    <x v="1"/>
    <n v="43.4"/>
    <n v="86.8"/>
    <x v="29"/>
    <d v="2025-01-31T00:00:00"/>
    <x v="1"/>
    <x v="1"/>
    <x v="1"/>
    <x v="0"/>
    <x v="22"/>
    <x v="3"/>
    <x v="4"/>
    <x v="1"/>
  </r>
  <r>
    <x v="695"/>
    <x v="6"/>
    <x v="1"/>
    <n v="42.6"/>
    <n v="85.2"/>
    <x v="29"/>
    <d v="2025-02-02T00:00:00"/>
    <x v="2"/>
    <x v="3"/>
    <x v="0"/>
    <x v="0"/>
    <x v="22"/>
    <x v="2"/>
    <x v="4"/>
    <x v="2"/>
  </r>
  <r>
    <x v="696"/>
    <x v="8"/>
    <x v="1"/>
    <n v="15.9"/>
    <n v="31.8"/>
    <x v="29"/>
    <d v="2025-01-31T00:00:00"/>
    <x v="2"/>
    <x v="0"/>
    <x v="0"/>
    <x v="0"/>
    <x v="34"/>
    <x v="3"/>
    <x v="4"/>
    <x v="2"/>
  </r>
  <r>
    <x v="697"/>
    <x v="9"/>
    <x v="1"/>
    <n v="63.2"/>
    <n v="126.4"/>
    <x v="29"/>
    <d v="2025-01-31T00:00:00"/>
    <x v="1"/>
    <x v="1"/>
    <x v="0"/>
    <x v="0"/>
    <x v="3"/>
    <x v="3"/>
    <x v="4"/>
    <x v="1"/>
  </r>
  <r>
    <x v="698"/>
    <x v="7"/>
    <x v="12"/>
    <n v="64.8"/>
    <n v="259.2"/>
    <x v="29"/>
    <d v="2025-02-01T00:00:00"/>
    <x v="0"/>
    <x v="4"/>
    <x v="1"/>
    <x v="0"/>
    <x v="3"/>
    <x v="1"/>
    <x v="4"/>
    <x v="0"/>
  </r>
  <r>
    <x v="699"/>
    <x v="7"/>
    <x v="2"/>
    <n v="79.8"/>
    <n v="239.39999999999998"/>
    <x v="29"/>
    <d v="2025-01-31T00:00:00"/>
    <x v="1"/>
    <x v="0"/>
    <x v="0"/>
    <x v="0"/>
    <x v="3"/>
    <x v="3"/>
    <x v="4"/>
    <x v="1"/>
  </r>
  <r>
    <x v="700"/>
    <x v="9"/>
    <x v="0"/>
    <n v="54.4"/>
    <n v="54.4"/>
    <x v="29"/>
    <d v="2025-02-01T00:00:00"/>
    <x v="2"/>
    <x v="4"/>
    <x v="2"/>
    <x v="0"/>
    <x v="3"/>
    <x v="1"/>
    <x v="4"/>
    <x v="2"/>
  </r>
  <r>
    <x v="701"/>
    <x v="6"/>
    <x v="0"/>
    <n v="87.3"/>
    <n v="87.3"/>
    <x v="29"/>
    <d v="2025-01-31T00:00:00"/>
    <x v="1"/>
    <x v="1"/>
    <x v="0"/>
    <x v="0"/>
    <x v="3"/>
    <x v="3"/>
    <x v="4"/>
    <x v="1"/>
  </r>
  <r>
    <x v="702"/>
    <x v="8"/>
    <x v="12"/>
    <n v="32.4"/>
    <n v="129.6"/>
    <x v="29"/>
    <d v="2025-01-30T00:00:00"/>
    <x v="1"/>
    <x v="1"/>
    <x v="0"/>
    <x v="0"/>
    <x v="3"/>
    <x v="7"/>
    <x v="4"/>
    <x v="1"/>
  </r>
  <r>
    <x v="703"/>
    <x v="2"/>
    <x v="0"/>
    <n v="177.4"/>
    <n v="177.4"/>
    <x v="29"/>
    <d v="2025-02-03T00:00:00"/>
    <x v="1"/>
    <x v="0"/>
    <x v="2"/>
    <x v="0"/>
    <x v="3"/>
    <x v="5"/>
    <x v="4"/>
    <x v="1"/>
  </r>
  <r>
    <x v="704"/>
    <x v="7"/>
    <x v="1"/>
    <n v="70.099999999999994"/>
    <n v="140.19999999999999"/>
    <x v="29"/>
    <d v="2025-01-31T00:00:00"/>
    <x v="1"/>
    <x v="3"/>
    <x v="1"/>
    <x v="0"/>
    <x v="3"/>
    <x v="3"/>
    <x v="4"/>
    <x v="1"/>
  </r>
  <r>
    <x v="705"/>
    <x v="9"/>
    <x v="13"/>
    <n v="51.1"/>
    <n v="306.60000000000002"/>
    <x v="29"/>
    <d v="2025-01-31T00:00:00"/>
    <x v="2"/>
    <x v="0"/>
    <x v="0"/>
    <x v="0"/>
    <x v="3"/>
    <x v="3"/>
    <x v="4"/>
    <x v="2"/>
  </r>
  <r>
    <x v="706"/>
    <x v="2"/>
    <x v="9"/>
    <n v="79.900000000000006"/>
    <n v="399.5"/>
    <x v="29"/>
    <d v="2025-02-01T00:00:00"/>
    <x v="1"/>
    <x v="3"/>
    <x v="2"/>
    <x v="0"/>
    <x v="24"/>
    <x v="1"/>
    <x v="4"/>
    <x v="1"/>
  </r>
  <r>
    <x v="707"/>
    <x v="6"/>
    <x v="0"/>
    <n v="57.6"/>
    <n v="57.6"/>
    <x v="30"/>
    <d v="2025-02-05T00:00:00"/>
    <x v="1"/>
    <x v="0"/>
    <x v="2"/>
    <x v="0"/>
    <x v="49"/>
    <x v="0"/>
    <x v="4"/>
    <x v="1"/>
  </r>
  <r>
    <x v="708"/>
    <x v="8"/>
    <x v="7"/>
    <n v="59.7"/>
    <n v="597"/>
    <x v="30"/>
    <d v="2025-02-04T00:00:00"/>
    <x v="1"/>
    <x v="2"/>
    <x v="0"/>
    <x v="0"/>
    <x v="25"/>
    <x v="5"/>
    <x v="4"/>
    <x v="1"/>
  </r>
  <r>
    <x v="709"/>
    <x v="8"/>
    <x v="9"/>
    <n v="30"/>
    <n v="150"/>
    <x v="30"/>
    <d v="2025-02-02T00:00:00"/>
    <x v="1"/>
    <x v="1"/>
    <x v="0"/>
    <x v="0"/>
    <x v="6"/>
    <x v="1"/>
    <x v="4"/>
    <x v="1"/>
  </r>
  <r>
    <x v="710"/>
    <x v="10"/>
    <x v="1"/>
    <n v="69.2"/>
    <n v="138.4"/>
    <x v="30"/>
    <d v="2025-02-02T00:00:00"/>
    <x v="0"/>
    <x v="2"/>
    <x v="1"/>
    <x v="0"/>
    <x v="6"/>
    <x v="1"/>
    <x v="4"/>
    <x v="0"/>
  </r>
  <r>
    <x v="711"/>
    <x v="0"/>
    <x v="8"/>
    <n v="10.9"/>
    <n v="87.2"/>
    <x v="30"/>
    <d v="2025-02-01T00:00:00"/>
    <x v="2"/>
    <x v="0"/>
    <x v="2"/>
    <x v="0"/>
    <x v="6"/>
    <x v="3"/>
    <x v="4"/>
    <x v="2"/>
  </r>
  <r>
    <x v="712"/>
    <x v="16"/>
    <x v="1"/>
    <n v="48.6"/>
    <n v="97.2"/>
    <x v="30"/>
    <d v="2025-02-04T00:00:00"/>
    <x v="1"/>
    <x v="1"/>
    <x v="2"/>
    <x v="0"/>
    <x v="6"/>
    <x v="5"/>
    <x v="4"/>
    <x v="1"/>
  </r>
  <r>
    <x v="713"/>
    <x v="2"/>
    <x v="1"/>
    <n v="61.1"/>
    <n v="122.2"/>
    <x v="30"/>
    <d v="2025-02-03T00:00:00"/>
    <x v="2"/>
    <x v="1"/>
    <x v="2"/>
    <x v="0"/>
    <x v="7"/>
    <x v="2"/>
    <x v="4"/>
    <x v="2"/>
  </r>
  <r>
    <x v="714"/>
    <x v="8"/>
    <x v="1"/>
    <n v="23.2"/>
    <n v="46.4"/>
    <x v="30"/>
    <d v="2025-02-01T00:00:00"/>
    <x v="1"/>
    <x v="3"/>
    <x v="2"/>
    <x v="0"/>
    <x v="8"/>
    <x v="3"/>
    <x v="4"/>
    <x v="1"/>
  </r>
  <r>
    <x v="715"/>
    <x v="12"/>
    <x v="12"/>
    <n v="55.8"/>
    <n v="223.2"/>
    <x v="30"/>
    <d v="2025-02-01T00:00:00"/>
    <x v="1"/>
    <x v="0"/>
    <x v="0"/>
    <x v="0"/>
    <x v="8"/>
    <x v="3"/>
    <x v="4"/>
    <x v="1"/>
  </r>
  <r>
    <x v="716"/>
    <x v="9"/>
    <x v="12"/>
    <n v="24.8"/>
    <n v="99.2"/>
    <x v="30"/>
    <d v="2025-02-01T00:00:00"/>
    <x v="2"/>
    <x v="0"/>
    <x v="2"/>
    <x v="0"/>
    <x v="8"/>
    <x v="3"/>
    <x v="4"/>
    <x v="2"/>
  </r>
  <r>
    <x v="717"/>
    <x v="10"/>
    <x v="1"/>
    <n v="27.9"/>
    <n v="55.8"/>
    <x v="30"/>
    <d v="2025-01-31T00:00:00"/>
    <x v="1"/>
    <x v="2"/>
    <x v="2"/>
    <x v="0"/>
    <x v="8"/>
    <x v="7"/>
    <x v="4"/>
    <x v="1"/>
  </r>
  <r>
    <x v="718"/>
    <x v="10"/>
    <x v="13"/>
    <n v="51.1"/>
    <n v="306.60000000000002"/>
    <x v="30"/>
    <d v="2025-01-31T00:00:00"/>
    <x v="2"/>
    <x v="3"/>
    <x v="0"/>
    <x v="0"/>
    <x v="8"/>
    <x v="7"/>
    <x v="4"/>
    <x v="2"/>
  </r>
  <r>
    <x v="719"/>
    <x v="17"/>
    <x v="5"/>
    <n v="32.700000000000003"/>
    <n v="359.70000000000005"/>
    <x v="30"/>
    <d v="2025-02-01T00:00:00"/>
    <x v="1"/>
    <x v="4"/>
    <x v="2"/>
    <x v="0"/>
    <x v="17"/>
    <x v="3"/>
    <x v="4"/>
    <x v="1"/>
  </r>
  <r>
    <x v="720"/>
    <x v="8"/>
    <x v="12"/>
    <n v="22.5"/>
    <n v="90"/>
    <x v="30"/>
    <d v="2025-01-31T00:00:00"/>
    <x v="1"/>
    <x v="0"/>
    <x v="2"/>
    <x v="0"/>
    <x v="26"/>
    <x v="7"/>
    <x v="4"/>
    <x v="1"/>
  </r>
  <r>
    <x v="721"/>
    <x v="0"/>
    <x v="3"/>
    <n v="14.6"/>
    <n v="102.2"/>
    <x v="30"/>
    <d v="2025-02-01T00:00:00"/>
    <x v="2"/>
    <x v="2"/>
    <x v="0"/>
    <x v="0"/>
    <x v="41"/>
    <x v="3"/>
    <x v="4"/>
    <x v="2"/>
  </r>
  <r>
    <x v="722"/>
    <x v="5"/>
    <x v="2"/>
    <n v="32.5"/>
    <n v="97.5"/>
    <x v="30"/>
    <d v="2025-02-03T00:00:00"/>
    <x v="1"/>
    <x v="0"/>
    <x v="0"/>
    <x v="0"/>
    <x v="10"/>
    <x v="2"/>
    <x v="4"/>
    <x v="1"/>
  </r>
  <r>
    <x v="723"/>
    <x v="18"/>
    <x v="0"/>
    <n v="78.099999999999994"/>
    <n v="78.099999999999994"/>
    <x v="30"/>
    <d v="2025-02-03T00:00:00"/>
    <x v="1"/>
    <x v="0"/>
    <x v="2"/>
    <x v="0"/>
    <x v="11"/>
    <x v="2"/>
    <x v="4"/>
    <x v="1"/>
  </r>
  <r>
    <x v="724"/>
    <x v="12"/>
    <x v="13"/>
    <n v="110.2"/>
    <n v="661.2"/>
    <x v="30"/>
    <d v="2025-01-31T00:00:00"/>
    <x v="1"/>
    <x v="1"/>
    <x v="4"/>
    <x v="0"/>
    <x v="13"/>
    <x v="7"/>
    <x v="4"/>
    <x v="1"/>
  </r>
  <r>
    <x v="725"/>
    <x v="6"/>
    <x v="2"/>
    <n v="86.3"/>
    <n v="258.89999999999998"/>
    <x v="30"/>
    <d v="2025-02-02T00:00:00"/>
    <x v="2"/>
    <x v="3"/>
    <x v="0"/>
    <x v="0"/>
    <x v="21"/>
    <x v="1"/>
    <x v="4"/>
    <x v="2"/>
  </r>
  <r>
    <x v="726"/>
    <x v="1"/>
    <x v="13"/>
    <n v="73.599999999999994"/>
    <n v="441.59999999999997"/>
    <x v="30"/>
    <d v="2025-02-02T00:00:00"/>
    <x v="3"/>
    <x v="3"/>
    <x v="4"/>
    <x v="0"/>
    <x v="44"/>
    <x v="1"/>
    <x v="4"/>
    <x v="3"/>
  </r>
  <r>
    <x v="727"/>
    <x v="6"/>
    <x v="15"/>
    <n v="67.7"/>
    <n v="880.1"/>
    <x v="30"/>
    <d v="2025-02-02T00:00:00"/>
    <x v="2"/>
    <x v="0"/>
    <x v="2"/>
    <x v="0"/>
    <x v="3"/>
    <x v="1"/>
    <x v="4"/>
    <x v="2"/>
  </r>
  <r>
    <x v="728"/>
    <x v="7"/>
    <x v="13"/>
    <n v="142.19999999999999"/>
    <n v="853.19999999999993"/>
    <x v="30"/>
    <d v="2025-02-01T00:00:00"/>
    <x v="2"/>
    <x v="2"/>
    <x v="4"/>
    <x v="0"/>
    <x v="3"/>
    <x v="3"/>
    <x v="4"/>
    <x v="2"/>
  </r>
  <r>
    <x v="729"/>
    <x v="1"/>
    <x v="11"/>
    <n v="45.8"/>
    <n v="412.2"/>
    <x v="30"/>
    <d v="2025-02-02T00:00:00"/>
    <x v="2"/>
    <x v="1"/>
    <x v="2"/>
    <x v="0"/>
    <x v="3"/>
    <x v="1"/>
    <x v="4"/>
    <x v="2"/>
  </r>
  <r>
    <x v="730"/>
    <x v="10"/>
    <x v="1"/>
    <n v="24.2"/>
    <n v="48.4"/>
    <x v="31"/>
    <d v="2025-02-04T00:00:00"/>
    <x v="2"/>
    <x v="3"/>
    <x v="2"/>
    <x v="0"/>
    <x v="3"/>
    <x v="2"/>
    <x v="4"/>
    <x v="2"/>
  </r>
  <r>
    <x v="731"/>
    <x v="2"/>
    <x v="2"/>
    <n v="144.9"/>
    <n v="434.70000000000005"/>
    <x v="31"/>
    <d v="2025-02-02T00:00:00"/>
    <x v="3"/>
    <x v="2"/>
    <x v="2"/>
    <x v="0"/>
    <x v="3"/>
    <x v="3"/>
    <x v="4"/>
    <x v="3"/>
  </r>
  <r>
    <x v="732"/>
    <x v="11"/>
    <x v="9"/>
    <n v="32.799999999999997"/>
    <n v="164"/>
    <x v="31"/>
    <d v="2025-02-04T00:00:00"/>
    <x v="2"/>
    <x v="2"/>
    <x v="0"/>
    <x v="0"/>
    <x v="23"/>
    <x v="2"/>
    <x v="4"/>
    <x v="2"/>
  </r>
  <r>
    <x v="733"/>
    <x v="7"/>
    <x v="7"/>
    <n v="35.700000000000003"/>
    <n v="357"/>
    <x v="31"/>
    <d v="2025-02-01T00:00:00"/>
    <x v="2"/>
    <x v="0"/>
    <x v="1"/>
    <x v="0"/>
    <x v="6"/>
    <x v="7"/>
    <x v="4"/>
    <x v="2"/>
  </r>
  <r>
    <x v="734"/>
    <x v="9"/>
    <x v="1"/>
    <n v="54.6"/>
    <n v="109.2"/>
    <x v="31"/>
    <d v="2025-02-02T00:00:00"/>
    <x v="2"/>
    <x v="2"/>
    <x v="0"/>
    <x v="0"/>
    <x v="6"/>
    <x v="3"/>
    <x v="4"/>
    <x v="2"/>
  </r>
  <r>
    <x v="735"/>
    <x v="8"/>
    <x v="1"/>
    <n v="35.700000000000003"/>
    <n v="71.400000000000006"/>
    <x v="31"/>
    <d v="2025-02-04T00:00:00"/>
    <x v="0"/>
    <x v="0"/>
    <x v="1"/>
    <x v="0"/>
    <x v="6"/>
    <x v="2"/>
    <x v="4"/>
    <x v="0"/>
  </r>
  <r>
    <x v="736"/>
    <x v="10"/>
    <x v="1"/>
    <n v="52.4"/>
    <n v="104.8"/>
    <x v="31"/>
    <d v="2025-02-01T00:00:00"/>
    <x v="2"/>
    <x v="0"/>
    <x v="3"/>
    <x v="0"/>
    <x v="6"/>
    <x v="7"/>
    <x v="4"/>
    <x v="2"/>
  </r>
  <r>
    <x v="737"/>
    <x v="8"/>
    <x v="21"/>
    <n v="16.2"/>
    <n v="226.79999999999998"/>
    <x v="31"/>
    <d v="2025-02-02T00:00:00"/>
    <x v="0"/>
    <x v="0"/>
    <x v="1"/>
    <x v="0"/>
    <x v="8"/>
    <x v="3"/>
    <x v="4"/>
    <x v="0"/>
  </r>
  <r>
    <x v="738"/>
    <x v="6"/>
    <x v="35"/>
    <n v="42.8"/>
    <n v="2011.6"/>
    <x v="31"/>
    <d v="2025-02-02T00:00:00"/>
    <x v="2"/>
    <x v="0"/>
    <x v="0"/>
    <x v="0"/>
    <x v="8"/>
    <x v="3"/>
    <x v="4"/>
    <x v="2"/>
  </r>
  <r>
    <x v="739"/>
    <x v="6"/>
    <x v="11"/>
    <n v="144.4"/>
    <n v="1299.6000000000001"/>
    <x v="31"/>
    <d v="2025-02-04T00:00:00"/>
    <x v="2"/>
    <x v="4"/>
    <x v="0"/>
    <x v="0"/>
    <x v="8"/>
    <x v="2"/>
    <x v="4"/>
    <x v="2"/>
  </r>
  <r>
    <x v="740"/>
    <x v="3"/>
    <x v="34"/>
    <n v="30.6"/>
    <n v="1101.6000000000001"/>
    <x v="31"/>
    <d v="2025-02-05T00:00:00"/>
    <x v="2"/>
    <x v="2"/>
    <x v="2"/>
    <x v="0"/>
    <x v="11"/>
    <x v="5"/>
    <x v="4"/>
    <x v="2"/>
  </r>
  <r>
    <x v="741"/>
    <x v="2"/>
    <x v="1"/>
    <n v="117.5"/>
    <n v="235"/>
    <x v="31"/>
    <d v="2025-02-02T00:00:00"/>
    <x v="1"/>
    <x v="0"/>
    <x v="0"/>
    <x v="0"/>
    <x v="19"/>
    <x v="3"/>
    <x v="4"/>
    <x v="1"/>
  </r>
  <r>
    <x v="742"/>
    <x v="6"/>
    <x v="1"/>
    <n v="105.7"/>
    <n v="211.4"/>
    <x v="31"/>
    <d v="2025-02-02T00:00:00"/>
    <x v="2"/>
    <x v="2"/>
    <x v="2"/>
    <x v="0"/>
    <x v="21"/>
    <x v="3"/>
    <x v="4"/>
    <x v="2"/>
  </r>
  <r>
    <x v="743"/>
    <x v="3"/>
    <x v="2"/>
    <n v="133.69999999999999"/>
    <n v="401.09999999999997"/>
    <x v="31"/>
    <d v="2025-02-02T00:00:00"/>
    <x v="0"/>
    <x v="4"/>
    <x v="2"/>
    <x v="0"/>
    <x v="21"/>
    <x v="3"/>
    <x v="4"/>
    <x v="0"/>
  </r>
  <r>
    <x v="744"/>
    <x v="4"/>
    <x v="9"/>
    <n v="46.8"/>
    <n v="234"/>
    <x v="32"/>
    <d v="2025-02-10T00:00:00"/>
    <x v="2"/>
    <x v="0"/>
    <x v="1"/>
    <x v="0"/>
    <x v="21"/>
    <x v="9"/>
    <x v="5"/>
    <x v="2"/>
  </r>
  <r>
    <x v="745"/>
    <x v="10"/>
    <x v="2"/>
    <n v="58.4"/>
    <n v="175.2"/>
    <x v="32"/>
    <d v="2025-02-04T00:00:00"/>
    <x v="2"/>
    <x v="0"/>
    <x v="0"/>
    <x v="0"/>
    <x v="1"/>
    <x v="1"/>
    <x v="5"/>
    <x v="2"/>
  </r>
  <r>
    <x v="746"/>
    <x v="6"/>
    <x v="11"/>
    <n v="65.099999999999994"/>
    <n v="585.9"/>
    <x v="32"/>
    <d v="2025-02-06T00:00:00"/>
    <x v="1"/>
    <x v="1"/>
    <x v="2"/>
    <x v="0"/>
    <x v="22"/>
    <x v="5"/>
    <x v="5"/>
    <x v="1"/>
  </r>
  <r>
    <x v="747"/>
    <x v="8"/>
    <x v="0"/>
    <n v="18.600000000000001"/>
    <n v="18.600000000000001"/>
    <x v="32"/>
    <d v="2025-02-05T00:00:00"/>
    <x v="2"/>
    <x v="0"/>
    <x v="4"/>
    <x v="0"/>
    <x v="22"/>
    <x v="2"/>
    <x v="5"/>
    <x v="2"/>
  </r>
  <r>
    <x v="748"/>
    <x v="1"/>
    <x v="5"/>
    <n v="92.3"/>
    <n v="1015.3"/>
    <x v="32"/>
    <d v="2025-02-04T00:00:00"/>
    <x v="1"/>
    <x v="1"/>
    <x v="0"/>
    <x v="0"/>
    <x v="3"/>
    <x v="1"/>
    <x v="5"/>
    <x v="1"/>
  </r>
  <r>
    <x v="749"/>
    <x v="6"/>
    <x v="2"/>
    <n v="81.7"/>
    <n v="245.10000000000002"/>
    <x v="32"/>
    <d v="2025-02-03T00:00:00"/>
    <x v="0"/>
    <x v="4"/>
    <x v="4"/>
    <x v="0"/>
    <x v="3"/>
    <x v="3"/>
    <x v="5"/>
    <x v="0"/>
  </r>
  <r>
    <x v="750"/>
    <x v="8"/>
    <x v="1"/>
    <n v="40.9"/>
    <n v="81.8"/>
    <x v="32"/>
    <d v="2025-02-04T00:00:00"/>
    <x v="1"/>
    <x v="0"/>
    <x v="1"/>
    <x v="0"/>
    <x v="3"/>
    <x v="1"/>
    <x v="5"/>
    <x v="1"/>
  </r>
  <r>
    <x v="751"/>
    <x v="6"/>
    <x v="12"/>
    <n v="43.2"/>
    <n v="172.8"/>
    <x v="32"/>
    <d v="2025-02-08T00:00:00"/>
    <x v="2"/>
    <x v="0"/>
    <x v="1"/>
    <x v="0"/>
    <x v="3"/>
    <x v="4"/>
    <x v="5"/>
    <x v="2"/>
  </r>
  <r>
    <x v="752"/>
    <x v="8"/>
    <x v="5"/>
    <n v="25.8"/>
    <n v="283.8"/>
    <x v="32"/>
    <d v="2025-02-05T00:00:00"/>
    <x v="1"/>
    <x v="2"/>
    <x v="1"/>
    <x v="0"/>
    <x v="3"/>
    <x v="2"/>
    <x v="5"/>
    <x v="1"/>
  </r>
  <r>
    <x v="753"/>
    <x v="15"/>
    <x v="12"/>
    <n v="36.4"/>
    <n v="145.6"/>
    <x v="32"/>
    <d v="2025-02-03T00:00:00"/>
    <x v="1"/>
    <x v="0"/>
    <x v="0"/>
    <x v="0"/>
    <x v="3"/>
    <x v="3"/>
    <x v="5"/>
    <x v="1"/>
  </r>
  <r>
    <x v="754"/>
    <x v="10"/>
    <x v="0"/>
    <n v="59.1"/>
    <n v="59.1"/>
    <x v="32"/>
    <d v="2025-02-03T00:00:00"/>
    <x v="2"/>
    <x v="2"/>
    <x v="0"/>
    <x v="0"/>
    <x v="7"/>
    <x v="3"/>
    <x v="5"/>
    <x v="2"/>
  </r>
  <r>
    <x v="755"/>
    <x v="2"/>
    <x v="14"/>
    <n v="74.5"/>
    <n v="1266.5"/>
    <x v="32"/>
    <d v="2025-02-04T00:00:00"/>
    <x v="1"/>
    <x v="4"/>
    <x v="0"/>
    <x v="0"/>
    <x v="18"/>
    <x v="1"/>
    <x v="5"/>
    <x v="1"/>
  </r>
  <r>
    <x v="756"/>
    <x v="5"/>
    <x v="0"/>
    <n v="72.8"/>
    <n v="72.8"/>
    <x v="32"/>
    <d v="2025-02-03T00:00:00"/>
    <x v="2"/>
    <x v="0"/>
    <x v="1"/>
    <x v="0"/>
    <x v="19"/>
    <x v="3"/>
    <x v="5"/>
    <x v="2"/>
  </r>
  <r>
    <x v="757"/>
    <x v="6"/>
    <x v="12"/>
    <n v="137.30000000000001"/>
    <n v="549.20000000000005"/>
    <x v="32"/>
    <d v="2025-02-05T00:00:00"/>
    <x v="2"/>
    <x v="0"/>
    <x v="0"/>
    <x v="0"/>
    <x v="13"/>
    <x v="2"/>
    <x v="5"/>
    <x v="2"/>
  </r>
  <r>
    <x v="758"/>
    <x v="1"/>
    <x v="2"/>
    <n v="48.7"/>
    <n v="146.10000000000002"/>
    <x v="32"/>
    <d v="2025-02-07T00:00:00"/>
    <x v="2"/>
    <x v="0"/>
    <x v="1"/>
    <x v="0"/>
    <x v="21"/>
    <x v="0"/>
    <x v="5"/>
    <x v="2"/>
  </r>
  <r>
    <x v="759"/>
    <x v="6"/>
    <x v="12"/>
    <n v="53.7"/>
    <n v="214.8"/>
    <x v="32"/>
    <d v="2025-02-06T00:00:00"/>
    <x v="1"/>
    <x v="1"/>
    <x v="4"/>
    <x v="0"/>
    <x v="2"/>
    <x v="5"/>
    <x v="5"/>
    <x v="1"/>
  </r>
  <r>
    <x v="760"/>
    <x v="2"/>
    <x v="3"/>
    <n v="100.9"/>
    <n v="706.30000000000007"/>
    <x v="32"/>
    <d v="2025-02-04T00:00:00"/>
    <x v="2"/>
    <x v="0"/>
    <x v="1"/>
    <x v="0"/>
    <x v="2"/>
    <x v="1"/>
    <x v="5"/>
    <x v="2"/>
  </r>
  <r>
    <x v="761"/>
    <x v="10"/>
    <x v="1"/>
    <n v="41.8"/>
    <n v="83.6"/>
    <x v="32"/>
    <d v="2025-02-06T00:00:00"/>
    <x v="1"/>
    <x v="3"/>
    <x v="2"/>
    <x v="0"/>
    <x v="22"/>
    <x v="5"/>
    <x v="5"/>
    <x v="1"/>
  </r>
  <r>
    <x v="762"/>
    <x v="4"/>
    <x v="8"/>
    <n v="28.5"/>
    <n v="228"/>
    <x v="32"/>
    <d v="2025-02-04T00:00:00"/>
    <x v="1"/>
    <x v="2"/>
    <x v="1"/>
    <x v="0"/>
    <x v="3"/>
    <x v="1"/>
    <x v="5"/>
    <x v="1"/>
  </r>
  <r>
    <x v="763"/>
    <x v="7"/>
    <x v="12"/>
    <n v="88.9"/>
    <n v="355.6"/>
    <x v="32"/>
    <d v="2025-02-05T00:00:00"/>
    <x v="2"/>
    <x v="0"/>
    <x v="2"/>
    <x v="0"/>
    <x v="3"/>
    <x v="2"/>
    <x v="5"/>
    <x v="2"/>
  </r>
  <r>
    <x v="764"/>
    <x v="6"/>
    <x v="0"/>
    <n v="62.5"/>
    <n v="62.5"/>
    <x v="32"/>
    <d v="2025-02-11T00:00:00"/>
    <x v="2"/>
    <x v="0"/>
    <x v="2"/>
    <x v="0"/>
    <x v="3"/>
    <x v="8"/>
    <x v="5"/>
    <x v="2"/>
  </r>
  <r>
    <x v="765"/>
    <x v="1"/>
    <x v="2"/>
    <n v="46.9"/>
    <n v="140.69999999999999"/>
    <x v="32"/>
    <d v="2025-02-03T00:00:00"/>
    <x v="1"/>
    <x v="0"/>
    <x v="2"/>
    <x v="0"/>
    <x v="3"/>
    <x v="3"/>
    <x v="5"/>
    <x v="1"/>
  </r>
  <r>
    <x v="766"/>
    <x v="8"/>
    <x v="2"/>
    <n v="45"/>
    <n v="135"/>
    <x v="32"/>
    <d v="2025-02-16T00:00:00"/>
    <x v="1"/>
    <x v="1"/>
    <x v="0"/>
    <x v="0"/>
    <x v="3"/>
    <x v="12"/>
    <x v="5"/>
    <x v="1"/>
  </r>
  <r>
    <x v="767"/>
    <x v="6"/>
    <x v="2"/>
    <n v="45.2"/>
    <n v="135.60000000000002"/>
    <x v="32"/>
    <d v="2025-02-04T00:00:00"/>
    <x v="1"/>
    <x v="4"/>
    <x v="2"/>
    <x v="0"/>
    <x v="3"/>
    <x v="1"/>
    <x v="5"/>
    <x v="1"/>
  </r>
  <r>
    <x v="768"/>
    <x v="4"/>
    <x v="1"/>
    <n v="60.1"/>
    <n v="120.2"/>
    <x v="32"/>
    <d v="2025-02-03T00:00:00"/>
    <x v="2"/>
    <x v="0"/>
    <x v="2"/>
    <x v="0"/>
    <x v="3"/>
    <x v="3"/>
    <x v="5"/>
    <x v="2"/>
  </r>
  <r>
    <x v="769"/>
    <x v="12"/>
    <x v="12"/>
    <n v="118.7"/>
    <n v="474.8"/>
    <x v="32"/>
    <d v="2025-02-04T00:00:00"/>
    <x v="2"/>
    <x v="0"/>
    <x v="0"/>
    <x v="0"/>
    <x v="3"/>
    <x v="1"/>
    <x v="5"/>
    <x v="2"/>
  </r>
  <r>
    <x v="770"/>
    <x v="9"/>
    <x v="0"/>
    <n v="57.8"/>
    <n v="57.8"/>
    <x v="32"/>
    <d v="2025-02-11T00:00:00"/>
    <x v="2"/>
    <x v="1"/>
    <x v="0"/>
    <x v="0"/>
    <x v="3"/>
    <x v="8"/>
    <x v="5"/>
    <x v="2"/>
  </r>
  <r>
    <x v="771"/>
    <x v="4"/>
    <x v="0"/>
    <n v="19.5"/>
    <n v="19.5"/>
    <x v="32"/>
    <d v="2025-02-03T00:00:00"/>
    <x v="1"/>
    <x v="1"/>
    <x v="1"/>
    <x v="0"/>
    <x v="3"/>
    <x v="3"/>
    <x v="5"/>
    <x v="1"/>
  </r>
  <r>
    <x v="772"/>
    <x v="12"/>
    <x v="0"/>
    <n v="42.6"/>
    <n v="42.6"/>
    <x v="32"/>
    <d v="2025-02-03T00:00:00"/>
    <x v="1"/>
    <x v="0"/>
    <x v="1"/>
    <x v="0"/>
    <x v="3"/>
    <x v="3"/>
    <x v="5"/>
    <x v="1"/>
  </r>
  <r>
    <x v="773"/>
    <x v="6"/>
    <x v="1"/>
    <n v="74.8"/>
    <n v="149.6"/>
    <x v="32"/>
    <d v="2025-02-03T00:00:00"/>
    <x v="2"/>
    <x v="3"/>
    <x v="2"/>
    <x v="0"/>
    <x v="37"/>
    <x v="3"/>
    <x v="5"/>
    <x v="2"/>
  </r>
  <r>
    <x v="774"/>
    <x v="8"/>
    <x v="2"/>
    <n v="32.5"/>
    <n v="97.5"/>
    <x v="32"/>
    <d v="2025-02-03T00:00:00"/>
    <x v="1"/>
    <x v="2"/>
    <x v="4"/>
    <x v="0"/>
    <x v="16"/>
    <x v="3"/>
    <x v="5"/>
    <x v="1"/>
  </r>
  <r>
    <x v="775"/>
    <x v="2"/>
    <x v="2"/>
    <n v="60.5"/>
    <n v="181.5"/>
    <x v="32"/>
    <d v="2025-02-02T00:00:00"/>
    <x v="2"/>
    <x v="1"/>
    <x v="2"/>
    <x v="0"/>
    <x v="25"/>
    <x v="7"/>
    <x v="5"/>
    <x v="2"/>
  </r>
  <r>
    <x v="776"/>
    <x v="1"/>
    <x v="3"/>
    <n v="57.2"/>
    <n v="400.40000000000003"/>
    <x v="32"/>
    <d v="2025-02-04T00:00:00"/>
    <x v="0"/>
    <x v="2"/>
    <x v="0"/>
    <x v="0"/>
    <x v="25"/>
    <x v="1"/>
    <x v="5"/>
    <x v="0"/>
  </r>
  <r>
    <x v="777"/>
    <x v="16"/>
    <x v="1"/>
    <n v="112"/>
    <n v="224"/>
    <x v="32"/>
    <d v="2025-02-03T00:00:00"/>
    <x v="2"/>
    <x v="1"/>
    <x v="1"/>
    <x v="0"/>
    <x v="5"/>
    <x v="3"/>
    <x v="5"/>
    <x v="2"/>
  </r>
  <r>
    <x v="778"/>
    <x v="7"/>
    <x v="7"/>
    <n v="49"/>
    <n v="490"/>
    <x v="32"/>
    <d v="2025-02-03T00:00:00"/>
    <x v="3"/>
    <x v="2"/>
    <x v="1"/>
    <x v="0"/>
    <x v="6"/>
    <x v="3"/>
    <x v="5"/>
    <x v="3"/>
  </r>
  <r>
    <x v="779"/>
    <x v="0"/>
    <x v="1"/>
    <n v="33.700000000000003"/>
    <n v="67.400000000000006"/>
    <x v="32"/>
    <d v="2025-02-06T00:00:00"/>
    <x v="2"/>
    <x v="3"/>
    <x v="0"/>
    <x v="0"/>
    <x v="6"/>
    <x v="5"/>
    <x v="5"/>
    <x v="2"/>
  </r>
  <r>
    <x v="780"/>
    <x v="4"/>
    <x v="2"/>
    <n v="35.6"/>
    <n v="106.80000000000001"/>
    <x v="32"/>
    <d v="2025-02-05T00:00:00"/>
    <x v="2"/>
    <x v="0"/>
    <x v="2"/>
    <x v="0"/>
    <x v="6"/>
    <x v="2"/>
    <x v="5"/>
    <x v="2"/>
  </r>
  <r>
    <x v="781"/>
    <x v="4"/>
    <x v="36"/>
    <n v="30.4"/>
    <n v="1064"/>
    <x v="33"/>
    <d v="2025-02-03T00:00:00"/>
    <x v="2"/>
    <x v="0"/>
    <x v="1"/>
    <x v="0"/>
    <x v="7"/>
    <x v="7"/>
    <x v="5"/>
    <x v="2"/>
  </r>
  <r>
    <x v="782"/>
    <x v="10"/>
    <x v="4"/>
    <n v="50.2"/>
    <n v="602.40000000000009"/>
    <x v="33"/>
    <d v="2025-02-04T00:00:00"/>
    <x v="1"/>
    <x v="4"/>
    <x v="0"/>
    <x v="0"/>
    <x v="8"/>
    <x v="3"/>
    <x v="5"/>
    <x v="1"/>
  </r>
  <r>
    <x v="783"/>
    <x v="1"/>
    <x v="1"/>
    <n v="43.7"/>
    <n v="87.4"/>
    <x v="33"/>
    <d v="2025-02-05T00:00:00"/>
    <x v="2"/>
    <x v="0"/>
    <x v="0"/>
    <x v="0"/>
    <x v="8"/>
    <x v="1"/>
    <x v="5"/>
    <x v="2"/>
  </r>
  <r>
    <x v="784"/>
    <x v="10"/>
    <x v="0"/>
    <n v="33.299999999999997"/>
    <n v="33.299999999999997"/>
    <x v="33"/>
    <d v="2025-02-04T00:00:00"/>
    <x v="2"/>
    <x v="2"/>
    <x v="1"/>
    <x v="0"/>
    <x v="8"/>
    <x v="3"/>
    <x v="5"/>
    <x v="2"/>
  </r>
  <r>
    <x v="785"/>
    <x v="8"/>
    <x v="12"/>
    <n v="15.1"/>
    <n v="60.4"/>
    <x v="33"/>
    <d v="2025-02-05T00:00:00"/>
    <x v="2"/>
    <x v="4"/>
    <x v="2"/>
    <x v="0"/>
    <x v="8"/>
    <x v="1"/>
    <x v="5"/>
    <x v="2"/>
  </r>
  <r>
    <x v="786"/>
    <x v="6"/>
    <x v="9"/>
    <n v="118.2"/>
    <n v="591"/>
    <x v="33"/>
    <d v="2025-02-04T00:00:00"/>
    <x v="2"/>
    <x v="3"/>
    <x v="4"/>
    <x v="0"/>
    <x v="8"/>
    <x v="3"/>
    <x v="5"/>
    <x v="2"/>
  </r>
  <r>
    <x v="787"/>
    <x v="10"/>
    <x v="2"/>
    <n v="28.9"/>
    <n v="86.699999999999989"/>
    <x v="33"/>
    <d v="2025-02-05T00:00:00"/>
    <x v="2"/>
    <x v="2"/>
    <x v="1"/>
    <x v="0"/>
    <x v="8"/>
    <x v="1"/>
    <x v="5"/>
    <x v="2"/>
  </r>
  <r>
    <x v="788"/>
    <x v="4"/>
    <x v="2"/>
    <n v="55.6"/>
    <n v="166.8"/>
    <x v="33"/>
    <d v="2025-02-04T00:00:00"/>
    <x v="1"/>
    <x v="0"/>
    <x v="1"/>
    <x v="0"/>
    <x v="8"/>
    <x v="3"/>
    <x v="5"/>
    <x v="1"/>
  </r>
  <r>
    <x v="789"/>
    <x v="9"/>
    <x v="12"/>
    <n v="25.6"/>
    <n v="102.4"/>
    <x v="33"/>
    <d v="2025-02-05T00:00:00"/>
    <x v="2"/>
    <x v="0"/>
    <x v="1"/>
    <x v="0"/>
    <x v="8"/>
    <x v="1"/>
    <x v="5"/>
    <x v="2"/>
  </r>
  <r>
    <x v="790"/>
    <x v="7"/>
    <x v="2"/>
    <n v="31.3"/>
    <n v="93.9"/>
    <x v="33"/>
    <d v="2025-02-04T00:00:00"/>
    <x v="1"/>
    <x v="0"/>
    <x v="0"/>
    <x v="0"/>
    <x v="17"/>
    <x v="3"/>
    <x v="5"/>
    <x v="1"/>
  </r>
  <r>
    <x v="791"/>
    <x v="0"/>
    <x v="2"/>
    <n v="22.1"/>
    <n v="66.300000000000011"/>
    <x v="33"/>
    <d v="2025-02-07T00:00:00"/>
    <x v="1"/>
    <x v="0"/>
    <x v="0"/>
    <x v="0"/>
    <x v="17"/>
    <x v="5"/>
    <x v="5"/>
    <x v="1"/>
  </r>
  <r>
    <x v="792"/>
    <x v="2"/>
    <x v="21"/>
    <n v="99.4"/>
    <n v="1391.6000000000001"/>
    <x v="33"/>
    <d v="2025-02-04T00:00:00"/>
    <x v="1"/>
    <x v="1"/>
    <x v="0"/>
    <x v="0"/>
    <x v="11"/>
    <x v="3"/>
    <x v="5"/>
    <x v="1"/>
  </r>
  <r>
    <x v="793"/>
    <x v="7"/>
    <x v="13"/>
    <n v="66.599999999999994"/>
    <n v="399.59999999999997"/>
    <x v="33"/>
    <d v="2025-02-04T00:00:00"/>
    <x v="2"/>
    <x v="0"/>
    <x v="0"/>
    <x v="0"/>
    <x v="11"/>
    <x v="3"/>
    <x v="5"/>
    <x v="2"/>
  </r>
  <r>
    <x v="794"/>
    <x v="8"/>
    <x v="1"/>
    <n v="22.6"/>
    <n v="45.2"/>
    <x v="33"/>
    <d v="2025-02-06T00:00:00"/>
    <x v="1"/>
    <x v="0"/>
    <x v="0"/>
    <x v="0"/>
    <x v="11"/>
    <x v="2"/>
    <x v="5"/>
    <x v="1"/>
  </r>
  <r>
    <x v="795"/>
    <x v="2"/>
    <x v="16"/>
    <n v="66.8"/>
    <n v="1202.3999999999999"/>
    <x v="33"/>
    <d v="2025-02-04T00:00:00"/>
    <x v="2"/>
    <x v="0"/>
    <x v="4"/>
    <x v="0"/>
    <x v="13"/>
    <x v="3"/>
    <x v="5"/>
    <x v="2"/>
  </r>
  <r>
    <x v="796"/>
    <x v="0"/>
    <x v="12"/>
    <n v="20.8"/>
    <n v="83.2"/>
    <x v="33"/>
    <d v="2025-02-10T00:00:00"/>
    <x v="1"/>
    <x v="1"/>
    <x v="4"/>
    <x v="0"/>
    <x v="1"/>
    <x v="6"/>
    <x v="5"/>
    <x v="1"/>
  </r>
  <r>
    <x v="797"/>
    <x v="2"/>
    <x v="3"/>
    <n v="102.5"/>
    <n v="717.5"/>
    <x v="33"/>
    <d v="2025-02-04T00:00:00"/>
    <x v="2"/>
    <x v="4"/>
    <x v="2"/>
    <x v="0"/>
    <x v="3"/>
    <x v="3"/>
    <x v="5"/>
    <x v="2"/>
  </r>
  <r>
    <x v="798"/>
    <x v="0"/>
    <x v="16"/>
    <n v="24.8"/>
    <n v="446.40000000000003"/>
    <x v="33"/>
    <d v="2025-02-07T00:00:00"/>
    <x v="2"/>
    <x v="0"/>
    <x v="0"/>
    <x v="0"/>
    <x v="3"/>
    <x v="5"/>
    <x v="5"/>
    <x v="2"/>
  </r>
  <r>
    <x v="799"/>
    <x v="4"/>
    <x v="37"/>
    <n v="31.4"/>
    <n v="973.4"/>
    <x v="33"/>
    <d v="2025-02-04T00:00:00"/>
    <x v="2"/>
    <x v="3"/>
    <x v="0"/>
    <x v="0"/>
    <x v="3"/>
    <x v="3"/>
    <x v="5"/>
    <x v="2"/>
  </r>
  <r>
    <x v="800"/>
    <x v="9"/>
    <x v="9"/>
    <n v="59.3"/>
    <n v="296.5"/>
    <x v="33"/>
    <d v="2025-02-06T00:00:00"/>
    <x v="1"/>
    <x v="1"/>
    <x v="2"/>
    <x v="0"/>
    <x v="43"/>
    <x v="2"/>
    <x v="5"/>
    <x v="1"/>
  </r>
  <r>
    <x v="801"/>
    <x v="11"/>
    <x v="13"/>
    <n v="39"/>
    <n v="234"/>
    <x v="33"/>
    <d v="2025-02-06T00:00:00"/>
    <x v="1"/>
    <x v="1"/>
    <x v="0"/>
    <x v="0"/>
    <x v="6"/>
    <x v="2"/>
    <x v="5"/>
    <x v="1"/>
  </r>
  <r>
    <x v="802"/>
    <x v="5"/>
    <x v="13"/>
    <n v="98.6"/>
    <n v="591.59999999999991"/>
    <x v="33"/>
    <d v="2025-02-05T00:00:00"/>
    <x v="2"/>
    <x v="1"/>
    <x v="0"/>
    <x v="0"/>
    <x v="6"/>
    <x v="1"/>
    <x v="5"/>
    <x v="2"/>
  </r>
  <r>
    <x v="803"/>
    <x v="8"/>
    <x v="0"/>
    <n v="20"/>
    <n v="20"/>
    <x v="34"/>
    <d v="2025-02-05T00:00:00"/>
    <x v="1"/>
    <x v="3"/>
    <x v="2"/>
    <x v="0"/>
    <x v="8"/>
    <x v="3"/>
    <x v="5"/>
    <x v="1"/>
  </r>
  <r>
    <x v="804"/>
    <x v="1"/>
    <x v="1"/>
    <n v="42.9"/>
    <n v="85.8"/>
    <x v="34"/>
    <d v="2025-02-06T00:00:00"/>
    <x v="2"/>
    <x v="0"/>
    <x v="2"/>
    <x v="0"/>
    <x v="8"/>
    <x v="1"/>
    <x v="5"/>
    <x v="2"/>
  </r>
  <r>
    <x v="805"/>
    <x v="7"/>
    <x v="3"/>
    <n v="55.6"/>
    <n v="389.2"/>
    <x v="34"/>
    <d v="2025-02-06T00:00:00"/>
    <x v="2"/>
    <x v="2"/>
    <x v="1"/>
    <x v="0"/>
    <x v="8"/>
    <x v="1"/>
    <x v="5"/>
    <x v="2"/>
  </r>
  <r>
    <x v="806"/>
    <x v="8"/>
    <x v="12"/>
    <n v="19.2"/>
    <n v="76.8"/>
    <x v="34"/>
    <d v="2025-02-09T00:00:00"/>
    <x v="2"/>
    <x v="0"/>
    <x v="0"/>
    <x v="0"/>
    <x v="41"/>
    <x v="0"/>
    <x v="5"/>
    <x v="2"/>
  </r>
  <r>
    <x v="807"/>
    <x v="5"/>
    <x v="1"/>
    <n v="28.8"/>
    <n v="57.6"/>
    <x v="34"/>
    <d v="2025-02-06T00:00:00"/>
    <x v="1"/>
    <x v="1"/>
    <x v="0"/>
    <x v="0"/>
    <x v="18"/>
    <x v="1"/>
    <x v="5"/>
    <x v="1"/>
  </r>
  <r>
    <x v="808"/>
    <x v="4"/>
    <x v="0"/>
    <n v="29.7"/>
    <n v="29.7"/>
    <x v="34"/>
    <d v="2025-02-06T00:00:00"/>
    <x v="2"/>
    <x v="2"/>
    <x v="4"/>
    <x v="0"/>
    <x v="20"/>
    <x v="1"/>
    <x v="5"/>
    <x v="2"/>
  </r>
  <r>
    <x v="809"/>
    <x v="6"/>
    <x v="13"/>
    <n v="63.3"/>
    <n v="379.79999999999995"/>
    <x v="34"/>
    <d v="2025-02-05T00:00:00"/>
    <x v="0"/>
    <x v="0"/>
    <x v="2"/>
    <x v="0"/>
    <x v="21"/>
    <x v="3"/>
    <x v="5"/>
    <x v="0"/>
  </r>
  <r>
    <x v="810"/>
    <x v="4"/>
    <x v="0"/>
    <n v="46"/>
    <n v="46"/>
    <x v="34"/>
    <d v="2025-02-05T00:00:00"/>
    <x v="2"/>
    <x v="0"/>
    <x v="2"/>
    <x v="0"/>
    <x v="21"/>
    <x v="3"/>
    <x v="5"/>
    <x v="2"/>
  </r>
  <r>
    <x v="811"/>
    <x v="11"/>
    <x v="2"/>
    <n v="38"/>
    <n v="114"/>
    <x v="34"/>
    <d v="2025-02-06T00:00:00"/>
    <x v="2"/>
    <x v="1"/>
    <x v="2"/>
    <x v="0"/>
    <x v="21"/>
    <x v="1"/>
    <x v="5"/>
    <x v="2"/>
  </r>
  <r>
    <x v="812"/>
    <x v="10"/>
    <x v="15"/>
    <n v="34.6"/>
    <n v="449.8"/>
    <x v="34"/>
    <d v="2025-02-06T00:00:00"/>
    <x v="2"/>
    <x v="0"/>
    <x v="1"/>
    <x v="0"/>
    <x v="21"/>
    <x v="1"/>
    <x v="5"/>
    <x v="2"/>
  </r>
  <r>
    <x v="813"/>
    <x v="3"/>
    <x v="7"/>
    <n v="79.7"/>
    <n v="797"/>
    <x v="34"/>
    <d v="2025-02-05T00:00:00"/>
    <x v="2"/>
    <x v="4"/>
    <x v="1"/>
    <x v="0"/>
    <x v="21"/>
    <x v="3"/>
    <x v="5"/>
    <x v="2"/>
  </r>
  <r>
    <x v="814"/>
    <x v="8"/>
    <x v="8"/>
    <n v="30.5"/>
    <n v="244"/>
    <x v="34"/>
    <d v="2025-02-08T00:00:00"/>
    <x v="1"/>
    <x v="3"/>
    <x v="0"/>
    <x v="0"/>
    <x v="1"/>
    <x v="5"/>
    <x v="5"/>
    <x v="1"/>
  </r>
  <r>
    <x v="815"/>
    <x v="0"/>
    <x v="1"/>
    <n v="20.8"/>
    <n v="41.6"/>
    <x v="34"/>
    <d v="2025-02-05T00:00:00"/>
    <x v="2"/>
    <x v="0"/>
    <x v="0"/>
    <x v="0"/>
    <x v="2"/>
    <x v="3"/>
    <x v="5"/>
    <x v="2"/>
  </r>
  <r>
    <x v="816"/>
    <x v="11"/>
    <x v="3"/>
    <n v="48.5"/>
    <n v="339.5"/>
    <x v="34"/>
    <d v="2025-02-08T00:00:00"/>
    <x v="2"/>
    <x v="2"/>
    <x v="2"/>
    <x v="0"/>
    <x v="2"/>
    <x v="5"/>
    <x v="5"/>
    <x v="2"/>
  </r>
  <r>
    <x v="817"/>
    <x v="2"/>
    <x v="12"/>
    <n v="61.8"/>
    <n v="247.2"/>
    <x v="34"/>
    <d v="2025-02-08T00:00:00"/>
    <x v="2"/>
    <x v="4"/>
    <x v="0"/>
    <x v="0"/>
    <x v="22"/>
    <x v="5"/>
    <x v="5"/>
    <x v="2"/>
  </r>
  <r>
    <x v="818"/>
    <x v="10"/>
    <x v="0"/>
    <n v="46.1"/>
    <n v="46.1"/>
    <x v="34"/>
    <d v="2025-02-05T00:00:00"/>
    <x v="3"/>
    <x v="2"/>
    <x v="0"/>
    <x v="0"/>
    <x v="3"/>
    <x v="3"/>
    <x v="5"/>
    <x v="3"/>
  </r>
  <r>
    <x v="819"/>
    <x v="4"/>
    <x v="13"/>
    <n v="44"/>
    <n v="264"/>
    <x v="34"/>
    <d v="2025-02-05T00:00:00"/>
    <x v="2"/>
    <x v="0"/>
    <x v="0"/>
    <x v="0"/>
    <x v="3"/>
    <x v="3"/>
    <x v="5"/>
    <x v="2"/>
  </r>
  <r>
    <x v="820"/>
    <x v="18"/>
    <x v="1"/>
    <n v="95.7"/>
    <n v="191.4"/>
    <x v="34"/>
    <d v="2025-02-10T00:00:00"/>
    <x v="2"/>
    <x v="3"/>
    <x v="2"/>
    <x v="0"/>
    <x v="3"/>
    <x v="4"/>
    <x v="5"/>
    <x v="2"/>
  </r>
  <r>
    <x v="821"/>
    <x v="7"/>
    <x v="9"/>
    <n v="46.4"/>
    <n v="232"/>
    <x v="34"/>
    <d v="2025-02-07T00:00:00"/>
    <x v="2"/>
    <x v="0"/>
    <x v="0"/>
    <x v="0"/>
    <x v="3"/>
    <x v="2"/>
    <x v="5"/>
    <x v="2"/>
  </r>
  <r>
    <x v="822"/>
    <x v="6"/>
    <x v="1"/>
    <n v="47.2"/>
    <n v="94.4"/>
    <x v="34"/>
    <d v="2025-02-06T00:00:00"/>
    <x v="2"/>
    <x v="0"/>
    <x v="2"/>
    <x v="0"/>
    <x v="3"/>
    <x v="1"/>
    <x v="5"/>
    <x v="2"/>
  </r>
  <r>
    <x v="823"/>
    <x v="7"/>
    <x v="1"/>
    <n v="58.6"/>
    <n v="117.2"/>
    <x v="34"/>
    <d v="2025-02-05T00:00:00"/>
    <x v="2"/>
    <x v="2"/>
    <x v="1"/>
    <x v="0"/>
    <x v="3"/>
    <x v="3"/>
    <x v="5"/>
    <x v="2"/>
  </r>
  <r>
    <x v="824"/>
    <x v="4"/>
    <x v="2"/>
    <n v="57"/>
    <n v="171"/>
    <x v="34"/>
    <d v="2025-02-05T00:00:00"/>
    <x v="1"/>
    <x v="0"/>
    <x v="2"/>
    <x v="0"/>
    <x v="3"/>
    <x v="3"/>
    <x v="5"/>
    <x v="1"/>
  </r>
  <r>
    <x v="825"/>
    <x v="8"/>
    <x v="12"/>
    <n v="28.9"/>
    <n v="115.6"/>
    <x v="34"/>
    <d v="2025-02-08T00:00:00"/>
    <x v="1"/>
    <x v="2"/>
    <x v="0"/>
    <x v="0"/>
    <x v="3"/>
    <x v="5"/>
    <x v="5"/>
    <x v="1"/>
  </r>
  <r>
    <x v="826"/>
    <x v="12"/>
    <x v="9"/>
    <n v="60.7"/>
    <n v="303.5"/>
    <x v="34"/>
    <d v="2025-02-08T00:00:00"/>
    <x v="0"/>
    <x v="1"/>
    <x v="1"/>
    <x v="0"/>
    <x v="3"/>
    <x v="5"/>
    <x v="5"/>
    <x v="0"/>
  </r>
  <r>
    <x v="827"/>
    <x v="6"/>
    <x v="9"/>
    <n v="60.8"/>
    <n v="304"/>
    <x v="34"/>
    <d v="2025-02-08T00:00:00"/>
    <x v="1"/>
    <x v="0"/>
    <x v="1"/>
    <x v="0"/>
    <x v="3"/>
    <x v="5"/>
    <x v="5"/>
    <x v="1"/>
  </r>
  <r>
    <x v="828"/>
    <x v="6"/>
    <x v="9"/>
    <n v="64.599999999999994"/>
    <n v="323"/>
    <x v="34"/>
    <d v="2025-02-05T00:00:00"/>
    <x v="2"/>
    <x v="3"/>
    <x v="0"/>
    <x v="0"/>
    <x v="3"/>
    <x v="3"/>
    <x v="5"/>
    <x v="2"/>
  </r>
  <r>
    <x v="829"/>
    <x v="8"/>
    <x v="0"/>
    <n v="21.9"/>
    <n v="21.9"/>
    <x v="34"/>
    <d v="2025-02-07T00:00:00"/>
    <x v="1"/>
    <x v="1"/>
    <x v="2"/>
    <x v="0"/>
    <x v="4"/>
    <x v="2"/>
    <x v="5"/>
    <x v="1"/>
  </r>
  <r>
    <x v="830"/>
    <x v="4"/>
    <x v="4"/>
    <n v="33.4"/>
    <n v="400.79999999999995"/>
    <x v="34"/>
    <d v="2025-02-06T00:00:00"/>
    <x v="2"/>
    <x v="0"/>
    <x v="0"/>
    <x v="0"/>
    <x v="23"/>
    <x v="1"/>
    <x v="5"/>
    <x v="2"/>
  </r>
  <r>
    <x v="831"/>
    <x v="2"/>
    <x v="0"/>
    <n v="51.7"/>
    <n v="51.7"/>
    <x v="34"/>
    <d v="2025-02-05T00:00:00"/>
    <x v="0"/>
    <x v="0"/>
    <x v="0"/>
    <x v="0"/>
    <x v="6"/>
    <x v="3"/>
    <x v="5"/>
    <x v="0"/>
  </r>
  <r>
    <x v="832"/>
    <x v="1"/>
    <x v="12"/>
    <n v="84.9"/>
    <n v="339.6"/>
    <x v="34"/>
    <d v="2025-02-05T00:00:00"/>
    <x v="2"/>
    <x v="1"/>
    <x v="1"/>
    <x v="0"/>
    <x v="6"/>
    <x v="3"/>
    <x v="5"/>
    <x v="2"/>
  </r>
  <r>
    <x v="833"/>
    <x v="1"/>
    <x v="5"/>
    <n v="62.3"/>
    <n v="685.3"/>
    <x v="34"/>
    <d v="2025-02-05T00:00:00"/>
    <x v="2"/>
    <x v="2"/>
    <x v="2"/>
    <x v="0"/>
    <x v="7"/>
    <x v="3"/>
    <x v="5"/>
    <x v="2"/>
  </r>
  <r>
    <x v="834"/>
    <x v="4"/>
    <x v="0"/>
    <n v="50.7"/>
    <n v="50.7"/>
    <x v="34"/>
    <d v="2025-02-06T00:00:00"/>
    <x v="1"/>
    <x v="2"/>
    <x v="2"/>
    <x v="0"/>
    <x v="8"/>
    <x v="1"/>
    <x v="5"/>
    <x v="1"/>
  </r>
  <r>
    <x v="835"/>
    <x v="18"/>
    <x v="0"/>
    <n v="39.5"/>
    <n v="39.5"/>
    <x v="34"/>
    <d v="2025-02-05T00:00:00"/>
    <x v="1"/>
    <x v="4"/>
    <x v="1"/>
    <x v="0"/>
    <x v="8"/>
    <x v="3"/>
    <x v="5"/>
    <x v="1"/>
  </r>
  <r>
    <x v="836"/>
    <x v="12"/>
    <x v="2"/>
    <n v="30.9"/>
    <n v="92.699999999999989"/>
    <x v="34"/>
    <d v="2025-02-05T00:00:00"/>
    <x v="0"/>
    <x v="4"/>
    <x v="2"/>
    <x v="0"/>
    <x v="8"/>
    <x v="3"/>
    <x v="5"/>
    <x v="0"/>
  </r>
  <r>
    <x v="837"/>
    <x v="1"/>
    <x v="3"/>
    <n v="36.4"/>
    <n v="254.79999999999998"/>
    <x v="34"/>
    <d v="2025-02-07T00:00:00"/>
    <x v="2"/>
    <x v="0"/>
    <x v="2"/>
    <x v="0"/>
    <x v="8"/>
    <x v="2"/>
    <x v="5"/>
    <x v="2"/>
  </r>
  <r>
    <x v="838"/>
    <x v="6"/>
    <x v="8"/>
    <n v="105.6"/>
    <n v="844.8"/>
    <x v="34"/>
    <d v="2025-02-14T00:00:00"/>
    <x v="2"/>
    <x v="0"/>
    <x v="0"/>
    <x v="0"/>
    <x v="8"/>
    <x v="14"/>
    <x v="5"/>
    <x v="2"/>
  </r>
  <r>
    <x v="839"/>
    <x v="8"/>
    <x v="1"/>
    <n v="22.1"/>
    <n v="44.2"/>
    <x v="34"/>
    <d v="2025-02-05T00:00:00"/>
    <x v="2"/>
    <x v="0"/>
    <x v="2"/>
    <x v="0"/>
    <x v="17"/>
    <x v="3"/>
    <x v="5"/>
    <x v="2"/>
  </r>
  <r>
    <x v="840"/>
    <x v="0"/>
    <x v="2"/>
    <n v="22.6"/>
    <n v="67.800000000000011"/>
    <x v="34"/>
    <d v="2025-02-05T00:00:00"/>
    <x v="2"/>
    <x v="2"/>
    <x v="0"/>
    <x v="0"/>
    <x v="17"/>
    <x v="3"/>
    <x v="5"/>
    <x v="2"/>
  </r>
  <r>
    <x v="841"/>
    <x v="10"/>
    <x v="13"/>
    <n v="26.3"/>
    <n v="157.80000000000001"/>
    <x v="34"/>
    <d v="2025-02-04T00:00:00"/>
    <x v="2"/>
    <x v="2"/>
    <x v="0"/>
    <x v="0"/>
    <x v="9"/>
    <x v="7"/>
    <x v="5"/>
    <x v="2"/>
  </r>
  <r>
    <x v="842"/>
    <x v="1"/>
    <x v="12"/>
    <n v="37.799999999999997"/>
    <n v="151.19999999999999"/>
    <x v="34"/>
    <d v="2025-02-05T00:00:00"/>
    <x v="2"/>
    <x v="0"/>
    <x v="2"/>
    <x v="0"/>
    <x v="11"/>
    <x v="3"/>
    <x v="5"/>
    <x v="2"/>
  </r>
  <r>
    <x v="843"/>
    <x v="6"/>
    <x v="14"/>
    <n v="96"/>
    <n v="1632"/>
    <x v="34"/>
    <d v="2025-02-07T00:00:00"/>
    <x v="2"/>
    <x v="4"/>
    <x v="1"/>
    <x v="0"/>
    <x v="18"/>
    <x v="2"/>
    <x v="5"/>
    <x v="2"/>
  </r>
  <r>
    <x v="844"/>
    <x v="1"/>
    <x v="0"/>
    <n v="83.6"/>
    <n v="83.6"/>
    <x v="34"/>
    <d v="2025-02-07T00:00:00"/>
    <x v="2"/>
    <x v="2"/>
    <x v="1"/>
    <x v="0"/>
    <x v="19"/>
    <x v="2"/>
    <x v="5"/>
    <x v="2"/>
  </r>
  <r>
    <x v="845"/>
    <x v="2"/>
    <x v="13"/>
    <n v="72.599999999999994"/>
    <n v="435.59999999999997"/>
    <x v="34"/>
    <d v="2025-02-05T00:00:00"/>
    <x v="2"/>
    <x v="0"/>
    <x v="0"/>
    <x v="0"/>
    <x v="21"/>
    <x v="3"/>
    <x v="5"/>
    <x v="2"/>
  </r>
  <r>
    <x v="846"/>
    <x v="5"/>
    <x v="28"/>
    <n v="69.099999999999994"/>
    <n v="1382"/>
    <x v="35"/>
    <d v="2025-02-11T00:00:00"/>
    <x v="1"/>
    <x v="0"/>
    <x v="2"/>
    <x v="0"/>
    <x v="21"/>
    <x v="4"/>
    <x v="5"/>
    <x v="1"/>
  </r>
  <r>
    <x v="847"/>
    <x v="4"/>
    <x v="1"/>
    <n v="22.6"/>
    <n v="45.2"/>
    <x v="35"/>
    <d v="2025-02-07T00:00:00"/>
    <x v="2"/>
    <x v="1"/>
    <x v="2"/>
    <x v="0"/>
    <x v="21"/>
    <x v="1"/>
    <x v="5"/>
    <x v="2"/>
  </r>
  <r>
    <x v="848"/>
    <x v="6"/>
    <x v="1"/>
    <n v="45.3"/>
    <n v="90.6"/>
    <x v="35"/>
    <d v="2025-02-09T00:00:00"/>
    <x v="1"/>
    <x v="4"/>
    <x v="2"/>
    <x v="0"/>
    <x v="21"/>
    <x v="5"/>
    <x v="5"/>
    <x v="1"/>
  </r>
  <r>
    <x v="849"/>
    <x v="2"/>
    <x v="1"/>
    <n v="115.1"/>
    <n v="230.2"/>
    <x v="35"/>
    <d v="2025-02-06T00:00:00"/>
    <x v="2"/>
    <x v="1"/>
    <x v="0"/>
    <x v="0"/>
    <x v="1"/>
    <x v="3"/>
    <x v="5"/>
    <x v="2"/>
  </r>
  <r>
    <x v="850"/>
    <x v="18"/>
    <x v="12"/>
    <n v="79"/>
    <n v="316"/>
    <x v="35"/>
    <d v="2025-02-07T00:00:00"/>
    <x v="1"/>
    <x v="2"/>
    <x v="4"/>
    <x v="0"/>
    <x v="1"/>
    <x v="1"/>
    <x v="5"/>
    <x v="1"/>
  </r>
  <r>
    <x v="851"/>
    <x v="6"/>
    <x v="9"/>
    <n v="52.8"/>
    <n v="264"/>
    <x v="35"/>
    <d v="2025-02-06T00:00:00"/>
    <x v="2"/>
    <x v="0"/>
    <x v="0"/>
    <x v="0"/>
    <x v="42"/>
    <x v="3"/>
    <x v="5"/>
    <x v="2"/>
  </r>
  <r>
    <x v="852"/>
    <x v="8"/>
    <x v="1"/>
    <n v="34.1"/>
    <n v="68.2"/>
    <x v="35"/>
    <d v="2025-02-06T00:00:00"/>
    <x v="1"/>
    <x v="3"/>
    <x v="2"/>
    <x v="0"/>
    <x v="44"/>
    <x v="3"/>
    <x v="5"/>
    <x v="1"/>
  </r>
  <r>
    <x v="853"/>
    <x v="6"/>
    <x v="9"/>
    <n v="107.9"/>
    <n v="539.5"/>
    <x v="35"/>
    <d v="2025-02-05T00:00:00"/>
    <x v="2"/>
    <x v="0"/>
    <x v="2"/>
    <x v="0"/>
    <x v="50"/>
    <x v="7"/>
    <x v="5"/>
    <x v="2"/>
  </r>
  <r>
    <x v="854"/>
    <x v="8"/>
    <x v="15"/>
    <n v="48.5"/>
    <n v="630.5"/>
    <x v="35"/>
    <d v="2025-02-05T00:00:00"/>
    <x v="1"/>
    <x v="2"/>
    <x v="2"/>
    <x v="0"/>
    <x v="3"/>
    <x v="7"/>
    <x v="5"/>
    <x v="1"/>
  </r>
  <r>
    <x v="855"/>
    <x v="5"/>
    <x v="2"/>
    <n v="34.700000000000003"/>
    <n v="104.10000000000001"/>
    <x v="35"/>
    <d v="2025-02-06T00:00:00"/>
    <x v="0"/>
    <x v="4"/>
    <x v="1"/>
    <x v="0"/>
    <x v="3"/>
    <x v="3"/>
    <x v="5"/>
    <x v="0"/>
  </r>
  <r>
    <x v="856"/>
    <x v="8"/>
    <x v="0"/>
    <n v="16.8"/>
    <n v="16.8"/>
    <x v="35"/>
    <d v="2025-02-07T00:00:00"/>
    <x v="2"/>
    <x v="3"/>
    <x v="0"/>
    <x v="0"/>
    <x v="3"/>
    <x v="1"/>
    <x v="5"/>
    <x v="2"/>
  </r>
  <r>
    <x v="857"/>
    <x v="8"/>
    <x v="13"/>
    <n v="18.3"/>
    <n v="109.80000000000001"/>
    <x v="35"/>
    <d v="2025-02-08T00:00:00"/>
    <x v="2"/>
    <x v="0"/>
    <x v="0"/>
    <x v="0"/>
    <x v="3"/>
    <x v="2"/>
    <x v="5"/>
    <x v="2"/>
  </r>
  <r>
    <x v="858"/>
    <x v="18"/>
    <x v="2"/>
    <n v="55.9"/>
    <n v="167.7"/>
    <x v="35"/>
    <d v="2025-02-11T00:00:00"/>
    <x v="1"/>
    <x v="3"/>
    <x v="1"/>
    <x v="0"/>
    <x v="3"/>
    <x v="4"/>
    <x v="5"/>
    <x v="1"/>
  </r>
  <r>
    <x v="859"/>
    <x v="8"/>
    <x v="2"/>
    <n v="39.200000000000003"/>
    <n v="117.60000000000001"/>
    <x v="35"/>
    <d v="2025-02-07T00:00:00"/>
    <x v="2"/>
    <x v="0"/>
    <x v="1"/>
    <x v="0"/>
    <x v="3"/>
    <x v="1"/>
    <x v="5"/>
    <x v="2"/>
  </r>
  <r>
    <x v="860"/>
    <x v="15"/>
    <x v="12"/>
    <n v="66.5"/>
    <n v="266"/>
    <x v="35"/>
    <d v="2025-02-07T00:00:00"/>
    <x v="0"/>
    <x v="3"/>
    <x v="1"/>
    <x v="0"/>
    <x v="3"/>
    <x v="1"/>
    <x v="5"/>
    <x v="0"/>
  </r>
  <r>
    <x v="861"/>
    <x v="6"/>
    <x v="13"/>
    <n v="52.1"/>
    <n v="312.60000000000002"/>
    <x v="35"/>
    <d v="2025-02-07T00:00:00"/>
    <x v="1"/>
    <x v="1"/>
    <x v="1"/>
    <x v="0"/>
    <x v="16"/>
    <x v="1"/>
    <x v="5"/>
    <x v="1"/>
  </r>
  <r>
    <x v="862"/>
    <x v="8"/>
    <x v="1"/>
    <n v="19"/>
    <n v="38"/>
    <x v="35"/>
    <d v="2025-02-06T00:00:00"/>
    <x v="1"/>
    <x v="4"/>
    <x v="2"/>
    <x v="0"/>
    <x v="6"/>
    <x v="3"/>
    <x v="5"/>
    <x v="1"/>
  </r>
  <r>
    <x v="863"/>
    <x v="7"/>
    <x v="2"/>
    <n v="84.8"/>
    <n v="254.39999999999998"/>
    <x v="35"/>
    <d v="2025-02-07T00:00:00"/>
    <x v="2"/>
    <x v="2"/>
    <x v="0"/>
    <x v="0"/>
    <x v="8"/>
    <x v="1"/>
    <x v="5"/>
    <x v="2"/>
  </r>
  <r>
    <x v="864"/>
    <x v="2"/>
    <x v="12"/>
    <n v="63.9"/>
    <n v="255.6"/>
    <x v="35"/>
    <d v="2025-02-08T00:00:00"/>
    <x v="2"/>
    <x v="0"/>
    <x v="0"/>
    <x v="0"/>
    <x v="8"/>
    <x v="2"/>
    <x v="5"/>
    <x v="2"/>
  </r>
  <r>
    <x v="865"/>
    <x v="2"/>
    <x v="2"/>
    <n v="65.5"/>
    <n v="196.5"/>
    <x v="35"/>
    <d v="2025-02-05T00:00:00"/>
    <x v="2"/>
    <x v="1"/>
    <x v="1"/>
    <x v="0"/>
    <x v="8"/>
    <x v="7"/>
    <x v="5"/>
    <x v="2"/>
  </r>
  <r>
    <x v="866"/>
    <x v="12"/>
    <x v="1"/>
    <n v="116.2"/>
    <n v="232.4"/>
    <x v="35"/>
    <d v="2025-02-11T00:00:00"/>
    <x v="1"/>
    <x v="3"/>
    <x v="0"/>
    <x v="0"/>
    <x v="17"/>
    <x v="4"/>
    <x v="5"/>
    <x v="1"/>
  </r>
  <r>
    <x v="867"/>
    <x v="10"/>
    <x v="12"/>
    <n v="22.9"/>
    <n v="91.6"/>
    <x v="35"/>
    <d v="2025-02-07T00:00:00"/>
    <x v="2"/>
    <x v="2"/>
    <x v="1"/>
    <x v="0"/>
    <x v="38"/>
    <x v="1"/>
    <x v="5"/>
    <x v="2"/>
  </r>
  <r>
    <x v="868"/>
    <x v="10"/>
    <x v="2"/>
    <n v="53.7"/>
    <n v="161.10000000000002"/>
    <x v="35"/>
    <d v="2025-02-06T00:00:00"/>
    <x v="1"/>
    <x v="0"/>
    <x v="4"/>
    <x v="0"/>
    <x v="18"/>
    <x v="3"/>
    <x v="5"/>
    <x v="1"/>
  </r>
  <r>
    <x v="869"/>
    <x v="6"/>
    <x v="9"/>
    <n v="43.2"/>
    <n v="216"/>
    <x v="35"/>
    <d v="2025-02-07T00:00:00"/>
    <x v="2"/>
    <x v="0"/>
    <x v="0"/>
    <x v="0"/>
    <x v="19"/>
    <x v="1"/>
    <x v="5"/>
    <x v="2"/>
  </r>
  <r>
    <x v="870"/>
    <x v="1"/>
    <x v="2"/>
    <n v="84.5"/>
    <n v="253.5"/>
    <x v="35"/>
    <d v="2025-02-07T00:00:00"/>
    <x v="1"/>
    <x v="2"/>
    <x v="2"/>
    <x v="0"/>
    <x v="51"/>
    <x v="1"/>
    <x v="5"/>
    <x v="1"/>
  </r>
  <r>
    <x v="871"/>
    <x v="3"/>
    <x v="1"/>
    <n v="42.2"/>
    <n v="84.4"/>
    <x v="35"/>
    <d v="2025-02-06T00:00:00"/>
    <x v="2"/>
    <x v="1"/>
    <x v="2"/>
    <x v="0"/>
    <x v="1"/>
    <x v="3"/>
    <x v="5"/>
    <x v="2"/>
  </r>
  <r>
    <x v="872"/>
    <x v="2"/>
    <x v="13"/>
    <n v="94.7"/>
    <n v="568.20000000000005"/>
    <x v="35"/>
    <d v="2025-02-08T00:00:00"/>
    <x v="2"/>
    <x v="1"/>
    <x v="2"/>
    <x v="0"/>
    <x v="2"/>
    <x v="2"/>
    <x v="5"/>
    <x v="2"/>
  </r>
  <r>
    <x v="873"/>
    <x v="8"/>
    <x v="16"/>
    <n v="16.7"/>
    <n v="300.59999999999997"/>
    <x v="35"/>
    <d v="2025-02-17T00:00:00"/>
    <x v="2"/>
    <x v="0"/>
    <x v="2"/>
    <x v="0"/>
    <x v="2"/>
    <x v="13"/>
    <x v="5"/>
    <x v="2"/>
  </r>
  <r>
    <x v="874"/>
    <x v="2"/>
    <x v="1"/>
    <n v="83.6"/>
    <n v="167.2"/>
    <x v="35"/>
    <d v="2025-02-11T00:00:00"/>
    <x v="2"/>
    <x v="1"/>
    <x v="0"/>
    <x v="0"/>
    <x v="3"/>
    <x v="4"/>
    <x v="5"/>
    <x v="2"/>
  </r>
  <r>
    <x v="875"/>
    <x v="7"/>
    <x v="13"/>
    <n v="33.6"/>
    <n v="201.60000000000002"/>
    <x v="36"/>
    <d v="2025-02-07T00:00:00"/>
    <x v="2"/>
    <x v="3"/>
    <x v="0"/>
    <x v="0"/>
    <x v="3"/>
    <x v="3"/>
    <x v="5"/>
    <x v="2"/>
  </r>
  <r>
    <x v="876"/>
    <x v="7"/>
    <x v="1"/>
    <n v="64.7"/>
    <n v="129.4"/>
    <x v="36"/>
    <d v="2025-02-08T00:00:00"/>
    <x v="1"/>
    <x v="1"/>
    <x v="2"/>
    <x v="0"/>
    <x v="3"/>
    <x v="1"/>
    <x v="5"/>
    <x v="1"/>
  </r>
  <r>
    <x v="877"/>
    <x v="0"/>
    <x v="2"/>
    <n v="15.7"/>
    <n v="47.099999999999994"/>
    <x v="36"/>
    <d v="2025-02-12T00:00:00"/>
    <x v="2"/>
    <x v="0"/>
    <x v="0"/>
    <x v="0"/>
    <x v="3"/>
    <x v="4"/>
    <x v="5"/>
    <x v="2"/>
  </r>
  <r>
    <x v="878"/>
    <x v="15"/>
    <x v="13"/>
    <n v="49.4"/>
    <n v="296.39999999999998"/>
    <x v="36"/>
    <d v="2025-02-06T00:00:00"/>
    <x v="1"/>
    <x v="1"/>
    <x v="0"/>
    <x v="0"/>
    <x v="3"/>
    <x v="7"/>
    <x v="5"/>
    <x v="1"/>
  </r>
  <r>
    <x v="879"/>
    <x v="10"/>
    <x v="13"/>
    <n v="37"/>
    <n v="222"/>
    <x v="36"/>
    <d v="2025-02-09T00:00:00"/>
    <x v="2"/>
    <x v="1"/>
    <x v="2"/>
    <x v="0"/>
    <x v="3"/>
    <x v="2"/>
    <x v="5"/>
    <x v="2"/>
  </r>
  <r>
    <x v="880"/>
    <x v="2"/>
    <x v="1"/>
    <n v="83.7"/>
    <n v="167.4"/>
    <x v="36"/>
    <d v="2025-02-08T00:00:00"/>
    <x v="2"/>
    <x v="3"/>
    <x v="2"/>
    <x v="0"/>
    <x v="3"/>
    <x v="1"/>
    <x v="5"/>
    <x v="2"/>
  </r>
  <r>
    <x v="881"/>
    <x v="1"/>
    <x v="9"/>
    <n v="35.1"/>
    <n v="175.5"/>
    <x v="36"/>
    <d v="2025-02-07T00:00:00"/>
    <x v="2"/>
    <x v="0"/>
    <x v="0"/>
    <x v="0"/>
    <x v="3"/>
    <x v="3"/>
    <x v="5"/>
    <x v="2"/>
  </r>
  <r>
    <x v="882"/>
    <x v="16"/>
    <x v="8"/>
    <n v="74"/>
    <n v="592"/>
    <x v="36"/>
    <d v="2025-02-07T00:00:00"/>
    <x v="2"/>
    <x v="4"/>
    <x v="0"/>
    <x v="0"/>
    <x v="37"/>
    <x v="3"/>
    <x v="5"/>
    <x v="2"/>
  </r>
  <r>
    <x v="883"/>
    <x v="6"/>
    <x v="25"/>
    <n v="55.5"/>
    <n v="1332"/>
    <x v="36"/>
    <d v="2025-02-09T00:00:00"/>
    <x v="1"/>
    <x v="3"/>
    <x v="0"/>
    <x v="0"/>
    <x v="49"/>
    <x v="2"/>
    <x v="5"/>
    <x v="1"/>
  </r>
  <r>
    <x v="884"/>
    <x v="11"/>
    <x v="1"/>
    <n v="38.9"/>
    <n v="77.8"/>
    <x v="36"/>
    <d v="2025-02-08T00:00:00"/>
    <x v="2"/>
    <x v="1"/>
    <x v="2"/>
    <x v="0"/>
    <x v="25"/>
    <x v="1"/>
    <x v="5"/>
    <x v="2"/>
  </r>
  <r>
    <x v="885"/>
    <x v="16"/>
    <x v="1"/>
    <n v="64.599999999999994"/>
    <n v="129.19999999999999"/>
    <x v="36"/>
    <d v="2025-02-13T00:00:00"/>
    <x v="1"/>
    <x v="2"/>
    <x v="1"/>
    <x v="0"/>
    <x v="25"/>
    <x v="6"/>
    <x v="5"/>
    <x v="1"/>
  </r>
  <r>
    <x v="886"/>
    <x v="2"/>
    <x v="2"/>
    <n v="95.3"/>
    <n v="285.89999999999998"/>
    <x v="36"/>
    <d v="2025-02-07T00:00:00"/>
    <x v="1"/>
    <x v="0"/>
    <x v="0"/>
    <x v="0"/>
    <x v="5"/>
    <x v="3"/>
    <x v="5"/>
    <x v="1"/>
  </r>
  <r>
    <x v="887"/>
    <x v="13"/>
    <x v="2"/>
    <n v="25.8"/>
    <n v="77.400000000000006"/>
    <x v="36"/>
    <d v="2025-02-07T00:00:00"/>
    <x v="2"/>
    <x v="1"/>
    <x v="1"/>
    <x v="0"/>
    <x v="6"/>
    <x v="3"/>
    <x v="5"/>
    <x v="2"/>
  </r>
  <r>
    <x v="888"/>
    <x v="0"/>
    <x v="1"/>
    <n v="11.6"/>
    <n v="23.2"/>
    <x v="36"/>
    <d v="2025-02-10T00:00:00"/>
    <x v="2"/>
    <x v="1"/>
    <x v="1"/>
    <x v="0"/>
    <x v="6"/>
    <x v="5"/>
    <x v="5"/>
    <x v="2"/>
  </r>
  <r>
    <x v="889"/>
    <x v="7"/>
    <x v="0"/>
    <n v="52.3"/>
    <n v="52.3"/>
    <x v="36"/>
    <d v="2025-02-07T00:00:00"/>
    <x v="2"/>
    <x v="1"/>
    <x v="0"/>
    <x v="0"/>
    <x v="8"/>
    <x v="3"/>
    <x v="5"/>
    <x v="2"/>
  </r>
  <r>
    <x v="890"/>
    <x v="2"/>
    <x v="7"/>
    <n v="112.2"/>
    <n v="1122"/>
    <x v="36"/>
    <d v="2025-02-07T00:00:00"/>
    <x v="2"/>
    <x v="1"/>
    <x v="1"/>
    <x v="0"/>
    <x v="8"/>
    <x v="3"/>
    <x v="5"/>
    <x v="2"/>
  </r>
  <r>
    <x v="891"/>
    <x v="4"/>
    <x v="9"/>
    <n v="34.6"/>
    <n v="173"/>
    <x v="36"/>
    <d v="2025-02-08T00:00:00"/>
    <x v="1"/>
    <x v="2"/>
    <x v="0"/>
    <x v="0"/>
    <x v="8"/>
    <x v="1"/>
    <x v="5"/>
    <x v="1"/>
  </r>
  <r>
    <x v="892"/>
    <x v="14"/>
    <x v="12"/>
    <n v="20.100000000000001"/>
    <n v="80.400000000000006"/>
    <x v="36"/>
    <d v="2025-02-12T00:00:00"/>
    <x v="1"/>
    <x v="1"/>
    <x v="2"/>
    <x v="0"/>
    <x v="8"/>
    <x v="4"/>
    <x v="5"/>
    <x v="1"/>
  </r>
  <r>
    <x v="893"/>
    <x v="2"/>
    <x v="12"/>
    <n v="56.4"/>
    <n v="225.6"/>
    <x v="36"/>
    <d v="2025-02-08T00:00:00"/>
    <x v="2"/>
    <x v="2"/>
    <x v="0"/>
    <x v="0"/>
    <x v="10"/>
    <x v="1"/>
    <x v="5"/>
    <x v="2"/>
  </r>
  <r>
    <x v="894"/>
    <x v="13"/>
    <x v="11"/>
    <n v="55.3"/>
    <n v="497.7"/>
    <x v="36"/>
    <d v="2025-02-08T00:00:00"/>
    <x v="2"/>
    <x v="1"/>
    <x v="4"/>
    <x v="0"/>
    <x v="11"/>
    <x v="1"/>
    <x v="5"/>
    <x v="2"/>
  </r>
  <r>
    <x v="895"/>
    <x v="2"/>
    <x v="31"/>
    <n v="75.5"/>
    <n v="2114"/>
    <x v="36"/>
    <d v="2025-02-07T00:00:00"/>
    <x v="2"/>
    <x v="0"/>
    <x v="0"/>
    <x v="0"/>
    <x v="11"/>
    <x v="3"/>
    <x v="5"/>
    <x v="2"/>
  </r>
  <r>
    <x v="896"/>
    <x v="8"/>
    <x v="0"/>
    <n v="23.6"/>
    <n v="23.6"/>
    <x v="36"/>
    <d v="2025-02-11T00:00:00"/>
    <x v="2"/>
    <x v="0"/>
    <x v="0"/>
    <x v="0"/>
    <x v="19"/>
    <x v="0"/>
    <x v="5"/>
    <x v="2"/>
  </r>
  <r>
    <x v="897"/>
    <x v="9"/>
    <x v="1"/>
    <n v="70.7"/>
    <n v="141.4"/>
    <x v="36"/>
    <d v="2025-02-08T00:00:00"/>
    <x v="2"/>
    <x v="2"/>
    <x v="0"/>
    <x v="0"/>
    <x v="19"/>
    <x v="1"/>
    <x v="5"/>
    <x v="2"/>
  </r>
  <r>
    <x v="898"/>
    <x v="12"/>
    <x v="1"/>
    <n v="43.2"/>
    <n v="86.4"/>
    <x v="36"/>
    <d v="2025-02-07T00:00:00"/>
    <x v="2"/>
    <x v="2"/>
    <x v="0"/>
    <x v="0"/>
    <x v="31"/>
    <x v="3"/>
    <x v="5"/>
    <x v="2"/>
  </r>
  <r>
    <x v="899"/>
    <x v="9"/>
    <x v="11"/>
    <n v="70"/>
    <n v="630"/>
    <x v="36"/>
    <d v="2025-02-07T00:00:00"/>
    <x v="0"/>
    <x v="1"/>
    <x v="0"/>
    <x v="0"/>
    <x v="52"/>
    <x v="3"/>
    <x v="5"/>
    <x v="0"/>
  </r>
  <r>
    <x v="900"/>
    <x v="0"/>
    <x v="1"/>
    <n v="20.5"/>
    <n v="41"/>
    <x v="36"/>
    <d v="2025-02-08T00:00:00"/>
    <x v="2"/>
    <x v="2"/>
    <x v="4"/>
    <x v="0"/>
    <x v="13"/>
    <x v="1"/>
    <x v="5"/>
    <x v="2"/>
  </r>
  <r>
    <x v="901"/>
    <x v="0"/>
    <x v="12"/>
    <n v="29.1"/>
    <n v="116.4"/>
    <x v="36"/>
    <d v="2025-02-07T00:00:00"/>
    <x v="2"/>
    <x v="3"/>
    <x v="0"/>
    <x v="0"/>
    <x v="28"/>
    <x v="3"/>
    <x v="5"/>
    <x v="2"/>
  </r>
  <r>
    <x v="902"/>
    <x v="6"/>
    <x v="11"/>
    <n v="53.6"/>
    <n v="482.40000000000003"/>
    <x v="36"/>
    <d v="2025-02-07T00:00:00"/>
    <x v="1"/>
    <x v="2"/>
    <x v="1"/>
    <x v="0"/>
    <x v="3"/>
    <x v="3"/>
    <x v="5"/>
    <x v="1"/>
  </r>
  <r>
    <x v="903"/>
    <x v="6"/>
    <x v="9"/>
    <n v="72.3"/>
    <n v="361.5"/>
    <x v="36"/>
    <d v="2025-02-08T00:00:00"/>
    <x v="2"/>
    <x v="1"/>
    <x v="0"/>
    <x v="0"/>
    <x v="3"/>
    <x v="1"/>
    <x v="5"/>
    <x v="2"/>
  </r>
  <r>
    <x v="904"/>
    <x v="13"/>
    <x v="12"/>
    <n v="22.6"/>
    <n v="90.4"/>
    <x v="36"/>
    <d v="2025-02-09T00:00:00"/>
    <x v="3"/>
    <x v="0"/>
    <x v="1"/>
    <x v="0"/>
    <x v="3"/>
    <x v="2"/>
    <x v="5"/>
    <x v="3"/>
  </r>
  <r>
    <x v="905"/>
    <x v="9"/>
    <x v="1"/>
    <n v="44.2"/>
    <n v="88.4"/>
    <x v="36"/>
    <d v="2025-02-10T00:00:00"/>
    <x v="0"/>
    <x v="2"/>
    <x v="4"/>
    <x v="0"/>
    <x v="3"/>
    <x v="5"/>
    <x v="5"/>
    <x v="0"/>
  </r>
  <r>
    <x v="906"/>
    <x v="9"/>
    <x v="2"/>
    <n v="94.1"/>
    <n v="282.29999999999995"/>
    <x v="36"/>
    <d v="2025-02-19T00:00:00"/>
    <x v="2"/>
    <x v="2"/>
    <x v="2"/>
    <x v="0"/>
    <x v="3"/>
    <x v="10"/>
    <x v="5"/>
    <x v="2"/>
  </r>
  <r>
    <x v="907"/>
    <x v="8"/>
    <x v="2"/>
    <n v="17.899999999999999"/>
    <n v="53.699999999999996"/>
    <x v="36"/>
    <d v="2025-02-08T00:00:00"/>
    <x v="1"/>
    <x v="1"/>
    <x v="1"/>
    <x v="0"/>
    <x v="3"/>
    <x v="1"/>
    <x v="5"/>
    <x v="1"/>
  </r>
  <r>
    <x v="908"/>
    <x v="12"/>
    <x v="3"/>
    <n v="52.7"/>
    <n v="368.90000000000003"/>
    <x v="36"/>
    <d v="2025-02-07T00:00:00"/>
    <x v="1"/>
    <x v="1"/>
    <x v="1"/>
    <x v="0"/>
    <x v="3"/>
    <x v="3"/>
    <x v="5"/>
    <x v="1"/>
  </r>
  <r>
    <x v="909"/>
    <x v="8"/>
    <x v="0"/>
    <n v="36.799999999999997"/>
    <n v="36.799999999999997"/>
    <x v="36"/>
    <d v="2025-02-06T00:00:00"/>
    <x v="0"/>
    <x v="0"/>
    <x v="2"/>
    <x v="0"/>
    <x v="3"/>
    <x v="7"/>
    <x v="5"/>
    <x v="0"/>
  </r>
  <r>
    <x v="910"/>
    <x v="4"/>
    <x v="0"/>
    <n v="52.5"/>
    <n v="52.5"/>
    <x v="36"/>
    <d v="2025-02-07T00:00:00"/>
    <x v="1"/>
    <x v="0"/>
    <x v="1"/>
    <x v="0"/>
    <x v="6"/>
    <x v="3"/>
    <x v="5"/>
    <x v="1"/>
  </r>
  <r>
    <x v="911"/>
    <x v="2"/>
    <x v="1"/>
    <n v="133.80000000000001"/>
    <n v="267.60000000000002"/>
    <x v="36"/>
    <d v="2025-02-08T00:00:00"/>
    <x v="1"/>
    <x v="0"/>
    <x v="1"/>
    <x v="0"/>
    <x v="7"/>
    <x v="1"/>
    <x v="5"/>
    <x v="1"/>
  </r>
  <r>
    <x v="912"/>
    <x v="6"/>
    <x v="1"/>
    <n v="53.2"/>
    <n v="106.4"/>
    <x v="36"/>
    <d v="2025-02-08T00:00:00"/>
    <x v="1"/>
    <x v="0"/>
    <x v="0"/>
    <x v="0"/>
    <x v="17"/>
    <x v="1"/>
    <x v="5"/>
    <x v="1"/>
  </r>
  <r>
    <x v="913"/>
    <x v="14"/>
    <x v="13"/>
    <n v="18.7"/>
    <n v="112.19999999999999"/>
    <x v="36"/>
    <d v="2025-02-08T00:00:00"/>
    <x v="0"/>
    <x v="0"/>
    <x v="1"/>
    <x v="0"/>
    <x v="10"/>
    <x v="1"/>
    <x v="5"/>
    <x v="0"/>
  </r>
  <r>
    <x v="914"/>
    <x v="6"/>
    <x v="12"/>
    <n v="108.8"/>
    <n v="435.2"/>
    <x v="36"/>
    <d v="2025-02-07T00:00:00"/>
    <x v="2"/>
    <x v="3"/>
    <x v="2"/>
    <x v="0"/>
    <x v="11"/>
    <x v="3"/>
    <x v="5"/>
    <x v="2"/>
  </r>
  <r>
    <x v="915"/>
    <x v="15"/>
    <x v="9"/>
    <n v="38.5"/>
    <n v="192.5"/>
    <x v="36"/>
    <d v="2025-02-10T00:00:00"/>
    <x v="2"/>
    <x v="0"/>
    <x v="1"/>
    <x v="0"/>
    <x v="14"/>
    <x v="5"/>
    <x v="5"/>
    <x v="2"/>
  </r>
  <r>
    <x v="916"/>
    <x v="10"/>
    <x v="7"/>
    <n v="46.5"/>
    <n v="465"/>
    <x v="36"/>
    <d v="2025-02-08T00:00:00"/>
    <x v="1"/>
    <x v="2"/>
    <x v="1"/>
    <x v="0"/>
    <x v="2"/>
    <x v="1"/>
    <x v="5"/>
    <x v="1"/>
  </r>
  <r>
    <x v="917"/>
    <x v="2"/>
    <x v="2"/>
    <n v="75.8"/>
    <n v="227.39999999999998"/>
    <x v="36"/>
    <d v="2025-02-10T00:00:00"/>
    <x v="2"/>
    <x v="1"/>
    <x v="4"/>
    <x v="0"/>
    <x v="44"/>
    <x v="5"/>
    <x v="5"/>
    <x v="2"/>
  </r>
  <r>
    <x v="918"/>
    <x v="8"/>
    <x v="0"/>
    <n v="20.9"/>
    <n v="20.9"/>
    <x v="36"/>
    <d v="2025-02-10T00:00:00"/>
    <x v="1"/>
    <x v="0"/>
    <x v="0"/>
    <x v="0"/>
    <x v="22"/>
    <x v="5"/>
    <x v="5"/>
    <x v="1"/>
  </r>
  <r>
    <x v="919"/>
    <x v="18"/>
    <x v="2"/>
    <n v="47.4"/>
    <n v="142.19999999999999"/>
    <x v="36"/>
    <d v="2025-02-09T00:00:00"/>
    <x v="2"/>
    <x v="0"/>
    <x v="0"/>
    <x v="0"/>
    <x v="3"/>
    <x v="2"/>
    <x v="5"/>
    <x v="2"/>
  </r>
  <r>
    <x v="920"/>
    <x v="9"/>
    <x v="1"/>
    <n v="53.8"/>
    <n v="107.6"/>
    <x v="36"/>
    <d v="2025-02-07T00:00:00"/>
    <x v="0"/>
    <x v="0"/>
    <x v="1"/>
    <x v="0"/>
    <x v="3"/>
    <x v="3"/>
    <x v="5"/>
    <x v="0"/>
  </r>
  <r>
    <x v="921"/>
    <x v="8"/>
    <x v="2"/>
    <n v="24.6"/>
    <n v="73.800000000000011"/>
    <x v="36"/>
    <d v="2025-02-08T00:00:00"/>
    <x v="3"/>
    <x v="1"/>
    <x v="2"/>
    <x v="0"/>
    <x v="3"/>
    <x v="1"/>
    <x v="5"/>
    <x v="3"/>
  </r>
  <r>
    <x v="922"/>
    <x v="9"/>
    <x v="2"/>
    <n v="70.900000000000006"/>
    <n v="212.70000000000002"/>
    <x v="36"/>
    <d v="2025-02-11T00:00:00"/>
    <x v="2"/>
    <x v="2"/>
    <x v="2"/>
    <x v="0"/>
    <x v="3"/>
    <x v="0"/>
    <x v="5"/>
    <x v="2"/>
  </r>
  <r>
    <x v="923"/>
    <x v="17"/>
    <x v="2"/>
    <n v="31.9"/>
    <n v="95.699999999999989"/>
    <x v="36"/>
    <d v="2025-02-08T00:00:00"/>
    <x v="2"/>
    <x v="2"/>
    <x v="2"/>
    <x v="0"/>
    <x v="3"/>
    <x v="1"/>
    <x v="5"/>
    <x v="2"/>
  </r>
  <r>
    <x v="924"/>
    <x v="0"/>
    <x v="1"/>
    <n v="20.399999999999999"/>
    <n v="40.799999999999997"/>
    <x v="36"/>
    <d v="2025-02-10T00:00:00"/>
    <x v="1"/>
    <x v="3"/>
    <x v="2"/>
    <x v="0"/>
    <x v="3"/>
    <x v="5"/>
    <x v="5"/>
    <x v="1"/>
  </r>
  <r>
    <x v="925"/>
    <x v="8"/>
    <x v="1"/>
    <n v="18.600000000000001"/>
    <n v="37.200000000000003"/>
    <x v="36"/>
    <d v="2025-02-08T00:00:00"/>
    <x v="0"/>
    <x v="0"/>
    <x v="1"/>
    <x v="0"/>
    <x v="3"/>
    <x v="1"/>
    <x v="5"/>
    <x v="0"/>
  </r>
  <r>
    <x v="926"/>
    <x v="4"/>
    <x v="9"/>
    <n v="48.3"/>
    <n v="241.5"/>
    <x v="36"/>
    <d v="2025-02-08T00:00:00"/>
    <x v="2"/>
    <x v="1"/>
    <x v="0"/>
    <x v="0"/>
    <x v="3"/>
    <x v="1"/>
    <x v="5"/>
    <x v="2"/>
  </r>
  <r>
    <x v="927"/>
    <x v="0"/>
    <x v="12"/>
    <n v="27.7"/>
    <n v="110.8"/>
    <x v="36"/>
    <d v="2025-02-08T00:00:00"/>
    <x v="2"/>
    <x v="0"/>
    <x v="0"/>
    <x v="0"/>
    <x v="3"/>
    <x v="1"/>
    <x v="5"/>
    <x v="2"/>
  </r>
  <r>
    <x v="928"/>
    <x v="4"/>
    <x v="9"/>
    <n v="22.5"/>
    <n v="112.5"/>
    <x v="36"/>
    <d v="2025-02-08T00:00:00"/>
    <x v="2"/>
    <x v="4"/>
    <x v="2"/>
    <x v="0"/>
    <x v="3"/>
    <x v="1"/>
    <x v="5"/>
    <x v="2"/>
  </r>
  <r>
    <x v="929"/>
    <x v="17"/>
    <x v="9"/>
    <n v="21.6"/>
    <n v="108"/>
    <x v="36"/>
    <d v="2025-02-14T00:00:00"/>
    <x v="2"/>
    <x v="0"/>
    <x v="1"/>
    <x v="0"/>
    <x v="3"/>
    <x v="9"/>
    <x v="5"/>
    <x v="2"/>
  </r>
  <r>
    <x v="930"/>
    <x v="10"/>
    <x v="3"/>
    <n v="26.3"/>
    <n v="184.1"/>
    <x v="36"/>
    <d v="2025-02-06T00:00:00"/>
    <x v="2"/>
    <x v="2"/>
    <x v="1"/>
    <x v="0"/>
    <x v="3"/>
    <x v="7"/>
    <x v="5"/>
    <x v="2"/>
  </r>
  <r>
    <x v="931"/>
    <x v="6"/>
    <x v="3"/>
    <n v="103"/>
    <n v="721"/>
    <x v="37"/>
    <d v="2025-02-08T00:00:00"/>
    <x v="1"/>
    <x v="0"/>
    <x v="2"/>
    <x v="0"/>
    <x v="6"/>
    <x v="3"/>
    <x v="5"/>
    <x v="1"/>
  </r>
  <r>
    <x v="932"/>
    <x v="5"/>
    <x v="20"/>
    <n v="46.6"/>
    <n v="699"/>
    <x v="37"/>
    <d v="2025-02-08T00:00:00"/>
    <x v="2"/>
    <x v="0"/>
    <x v="1"/>
    <x v="0"/>
    <x v="6"/>
    <x v="3"/>
    <x v="5"/>
    <x v="2"/>
  </r>
  <r>
    <x v="933"/>
    <x v="0"/>
    <x v="9"/>
    <n v="32.200000000000003"/>
    <n v="161"/>
    <x v="37"/>
    <d v="2025-02-10T00:00:00"/>
    <x v="2"/>
    <x v="0"/>
    <x v="2"/>
    <x v="0"/>
    <x v="36"/>
    <x v="2"/>
    <x v="5"/>
    <x v="2"/>
  </r>
  <r>
    <x v="934"/>
    <x v="8"/>
    <x v="2"/>
    <n v="22"/>
    <n v="66"/>
    <x v="37"/>
    <d v="2025-02-14T00:00:00"/>
    <x v="1"/>
    <x v="1"/>
    <x v="0"/>
    <x v="0"/>
    <x v="7"/>
    <x v="6"/>
    <x v="5"/>
    <x v="1"/>
  </r>
  <r>
    <x v="935"/>
    <x v="0"/>
    <x v="1"/>
    <n v="25.2"/>
    <n v="50.4"/>
    <x v="37"/>
    <d v="2025-02-11T00:00:00"/>
    <x v="2"/>
    <x v="0"/>
    <x v="0"/>
    <x v="0"/>
    <x v="7"/>
    <x v="5"/>
    <x v="5"/>
    <x v="2"/>
  </r>
  <r>
    <x v="936"/>
    <x v="1"/>
    <x v="13"/>
    <n v="68.7"/>
    <n v="412.20000000000005"/>
    <x v="37"/>
    <d v="2025-02-09T00:00:00"/>
    <x v="1"/>
    <x v="4"/>
    <x v="0"/>
    <x v="0"/>
    <x v="8"/>
    <x v="1"/>
    <x v="5"/>
    <x v="1"/>
  </r>
  <r>
    <x v="937"/>
    <x v="0"/>
    <x v="2"/>
    <n v="22.2"/>
    <n v="66.599999999999994"/>
    <x v="37"/>
    <d v="2025-02-10T00:00:00"/>
    <x v="1"/>
    <x v="2"/>
    <x v="2"/>
    <x v="0"/>
    <x v="8"/>
    <x v="2"/>
    <x v="5"/>
    <x v="1"/>
  </r>
  <r>
    <x v="938"/>
    <x v="1"/>
    <x v="3"/>
    <n v="36"/>
    <n v="252"/>
    <x v="37"/>
    <d v="2025-02-08T00:00:00"/>
    <x v="2"/>
    <x v="1"/>
    <x v="0"/>
    <x v="0"/>
    <x v="8"/>
    <x v="3"/>
    <x v="5"/>
    <x v="2"/>
  </r>
  <r>
    <x v="939"/>
    <x v="18"/>
    <x v="0"/>
    <n v="50.6"/>
    <n v="50.6"/>
    <x v="37"/>
    <d v="2025-02-09T00:00:00"/>
    <x v="2"/>
    <x v="0"/>
    <x v="1"/>
    <x v="0"/>
    <x v="8"/>
    <x v="1"/>
    <x v="5"/>
    <x v="2"/>
  </r>
  <r>
    <x v="940"/>
    <x v="15"/>
    <x v="1"/>
    <n v="44.9"/>
    <n v="89.8"/>
    <x v="37"/>
    <d v="2025-02-09T00:00:00"/>
    <x v="1"/>
    <x v="0"/>
    <x v="1"/>
    <x v="0"/>
    <x v="8"/>
    <x v="1"/>
    <x v="5"/>
    <x v="1"/>
  </r>
  <r>
    <x v="941"/>
    <x v="6"/>
    <x v="2"/>
    <n v="71.599999999999994"/>
    <n v="214.79999999999998"/>
    <x v="37"/>
    <d v="2025-02-11T00:00:00"/>
    <x v="1"/>
    <x v="1"/>
    <x v="2"/>
    <x v="0"/>
    <x v="10"/>
    <x v="5"/>
    <x v="5"/>
    <x v="1"/>
  </r>
  <r>
    <x v="942"/>
    <x v="6"/>
    <x v="13"/>
    <n v="51.5"/>
    <n v="309"/>
    <x v="37"/>
    <d v="2025-02-09T00:00:00"/>
    <x v="0"/>
    <x v="4"/>
    <x v="0"/>
    <x v="0"/>
    <x v="11"/>
    <x v="1"/>
    <x v="5"/>
    <x v="0"/>
  </r>
  <r>
    <x v="943"/>
    <x v="7"/>
    <x v="9"/>
    <n v="55.5"/>
    <n v="277.5"/>
    <x v="37"/>
    <d v="2025-02-08T00:00:00"/>
    <x v="1"/>
    <x v="1"/>
    <x v="1"/>
    <x v="0"/>
    <x v="11"/>
    <x v="3"/>
    <x v="5"/>
    <x v="1"/>
  </r>
  <r>
    <x v="944"/>
    <x v="6"/>
    <x v="0"/>
    <n v="51.7"/>
    <n v="51.7"/>
    <x v="37"/>
    <d v="2025-02-21T00:00:00"/>
    <x v="1"/>
    <x v="2"/>
    <x v="0"/>
    <x v="0"/>
    <x v="19"/>
    <x v="12"/>
    <x v="5"/>
    <x v="1"/>
  </r>
  <r>
    <x v="945"/>
    <x v="8"/>
    <x v="38"/>
    <n v="45.5"/>
    <n v="955.5"/>
    <x v="37"/>
    <d v="2025-02-08T00:00:00"/>
    <x v="2"/>
    <x v="3"/>
    <x v="2"/>
    <x v="0"/>
    <x v="19"/>
    <x v="3"/>
    <x v="5"/>
    <x v="2"/>
  </r>
  <r>
    <x v="946"/>
    <x v="8"/>
    <x v="1"/>
    <n v="33.799999999999997"/>
    <n v="67.599999999999994"/>
    <x v="37"/>
    <d v="2025-02-13T00:00:00"/>
    <x v="2"/>
    <x v="3"/>
    <x v="0"/>
    <x v="0"/>
    <x v="20"/>
    <x v="4"/>
    <x v="5"/>
    <x v="2"/>
  </r>
  <r>
    <x v="947"/>
    <x v="3"/>
    <x v="2"/>
    <n v="76.5"/>
    <n v="229.5"/>
    <x v="37"/>
    <d v="2025-02-08T00:00:00"/>
    <x v="2"/>
    <x v="0"/>
    <x v="1"/>
    <x v="0"/>
    <x v="21"/>
    <x v="3"/>
    <x v="5"/>
    <x v="2"/>
  </r>
  <r>
    <x v="948"/>
    <x v="9"/>
    <x v="2"/>
    <n v="42.6"/>
    <n v="127.80000000000001"/>
    <x v="37"/>
    <d v="2025-02-13T00:00:00"/>
    <x v="2"/>
    <x v="2"/>
    <x v="2"/>
    <x v="0"/>
    <x v="2"/>
    <x v="4"/>
    <x v="5"/>
    <x v="2"/>
  </r>
  <r>
    <x v="949"/>
    <x v="6"/>
    <x v="2"/>
    <n v="44.1"/>
    <n v="132.30000000000001"/>
    <x v="37"/>
    <d v="2025-02-09T00:00:00"/>
    <x v="2"/>
    <x v="1"/>
    <x v="1"/>
    <x v="0"/>
    <x v="22"/>
    <x v="1"/>
    <x v="5"/>
    <x v="2"/>
  </r>
  <r>
    <x v="950"/>
    <x v="8"/>
    <x v="1"/>
    <n v="40.9"/>
    <n v="81.8"/>
    <x v="37"/>
    <d v="2025-02-11T00:00:00"/>
    <x v="1"/>
    <x v="0"/>
    <x v="0"/>
    <x v="0"/>
    <x v="3"/>
    <x v="5"/>
    <x v="5"/>
    <x v="1"/>
  </r>
  <r>
    <x v="951"/>
    <x v="9"/>
    <x v="2"/>
    <n v="49.1"/>
    <n v="147.30000000000001"/>
    <x v="37"/>
    <d v="2025-02-11T00:00:00"/>
    <x v="2"/>
    <x v="3"/>
    <x v="1"/>
    <x v="0"/>
    <x v="3"/>
    <x v="5"/>
    <x v="5"/>
    <x v="2"/>
  </r>
  <r>
    <x v="952"/>
    <x v="18"/>
    <x v="0"/>
    <n v="85.3"/>
    <n v="85.3"/>
    <x v="37"/>
    <d v="2025-02-11T00:00:00"/>
    <x v="1"/>
    <x v="1"/>
    <x v="1"/>
    <x v="0"/>
    <x v="3"/>
    <x v="5"/>
    <x v="5"/>
    <x v="1"/>
  </r>
  <r>
    <x v="953"/>
    <x v="6"/>
    <x v="12"/>
    <n v="43.1"/>
    <n v="172.4"/>
    <x v="38"/>
    <d v="2025-02-11T00:00:00"/>
    <x v="1"/>
    <x v="0"/>
    <x v="0"/>
    <x v="0"/>
    <x v="3"/>
    <x v="2"/>
    <x v="5"/>
    <x v="1"/>
  </r>
  <r>
    <x v="954"/>
    <x v="4"/>
    <x v="12"/>
    <n v="46.2"/>
    <n v="184.8"/>
    <x v="38"/>
    <d v="2025-02-09T00:00:00"/>
    <x v="1"/>
    <x v="2"/>
    <x v="0"/>
    <x v="0"/>
    <x v="3"/>
    <x v="3"/>
    <x v="5"/>
    <x v="1"/>
  </r>
  <r>
    <x v="955"/>
    <x v="1"/>
    <x v="0"/>
    <n v="74.400000000000006"/>
    <n v="74.400000000000006"/>
    <x v="38"/>
    <d v="2025-02-10T00:00:00"/>
    <x v="1"/>
    <x v="4"/>
    <x v="2"/>
    <x v="0"/>
    <x v="3"/>
    <x v="1"/>
    <x v="5"/>
    <x v="1"/>
  </r>
  <r>
    <x v="956"/>
    <x v="17"/>
    <x v="1"/>
    <n v="51.2"/>
    <n v="102.4"/>
    <x v="38"/>
    <d v="2025-02-09T00:00:00"/>
    <x v="1"/>
    <x v="1"/>
    <x v="0"/>
    <x v="0"/>
    <x v="3"/>
    <x v="3"/>
    <x v="5"/>
    <x v="1"/>
  </r>
  <r>
    <x v="957"/>
    <x v="14"/>
    <x v="12"/>
    <n v="11.8"/>
    <n v="47.2"/>
    <x v="38"/>
    <d v="2025-02-08T00:00:00"/>
    <x v="1"/>
    <x v="2"/>
    <x v="0"/>
    <x v="0"/>
    <x v="3"/>
    <x v="7"/>
    <x v="5"/>
    <x v="1"/>
  </r>
  <r>
    <x v="958"/>
    <x v="10"/>
    <x v="6"/>
    <n v="40.799999999999997"/>
    <n v="1101.5999999999999"/>
    <x v="38"/>
    <d v="2025-02-09T00:00:00"/>
    <x v="2"/>
    <x v="3"/>
    <x v="2"/>
    <x v="0"/>
    <x v="3"/>
    <x v="3"/>
    <x v="5"/>
    <x v="2"/>
  </r>
  <r>
    <x v="959"/>
    <x v="8"/>
    <x v="0"/>
    <n v="24.7"/>
    <n v="24.7"/>
    <x v="38"/>
    <d v="2025-02-10T00:00:00"/>
    <x v="2"/>
    <x v="2"/>
    <x v="1"/>
    <x v="0"/>
    <x v="3"/>
    <x v="1"/>
    <x v="5"/>
    <x v="2"/>
  </r>
  <r>
    <x v="960"/>
    <x v="8"/>
    <x v="3"/>
    <n v="22.1"/>
    <n v="154.70000000000002"/>
    <x v="38"/>
    <d v="2025-02-08T00:00:00"/>
    <x v="2"/>
    <x v="2"/>
    <x v="4"/>
    <x v="0"/>
    <x v="3"/>
    <x v="7"/>
    <x v="5"/>
    <x v="2"/>
  </r>
  <r>
    <x v="961"/>
    <x v="8"/>
    <x v="0"/>
    <n v="18.100000000000001"/>
    <n v="18.100000000000001"/>
    <x v="38"/>
    <d v="2025-02-12T00:00:00"/>
    <x v="1"/>
    <x v="3"/>
    <x v="2"/>
    <x v="0"/>
    <x v="3"/>
    <x v="5"/>
    <x v="5"/>
    <x v="1"/>
  </r>
  <r>
    <x v="962"/>
    <x v="17"/>
    <x v="1"/>
    <n v="58.8"/>
    <n v="117.6"/>
    <x v="38"/>
    <d v="2025-02-11T00:00:00"/>
    <x v="2"/>
    <x v="0"/>
    <x v="0"/>
    <x v="0"/>
    <x v="25"/>
    <x v="2"/>
    <x v="5"/>
    <x v="2"/>
  </r>
  <r>
    <x v="963"/>
    <x v="18"/>
    <x v="1"/>
    <n v="30.8"/>
    <n v="61.6"/>
    <x v="38"/>
    <d v="2025-02-09T00:00:00"/>
    <x v="2"/>
    <x v="0"/>
    <x v="0"/>
    <x v="0"/>
    <x v="6"/>
    <x v="3"/>
    <x v="5"/>
    <x v="2"/>
  </r>
  <r>
    <x v="964"/>
    <x v="0"/>
    <x v="1"/>
    <n v="12"/>
    <n v="24"/>
    <x v="38"/>
    <d v="2025-02-12T00:00:00"/>
    <x v="2"/>
    <x v="0"/>
    <x v="0"/>
    <x v="0"/>
    <x v="6"/>
    <x v="5"/>
    <x v="5"/>
    <x v="2"/>
  </r>
  <r>
    <x v="965"/>
    <x v="0"/>
    <x v="12"/>
    <n v="13.6"/>
    <n v="54.4"/>
    <x v="38"/>
    <d v="2025-02-11T00:00:00"/>
    <x v="1"/>
    <x v="2"/>
    <x v="0"/>
    <x v="0"/>
    <x v="6"/>
    <x v="2"/>
    <x v="5"/>
    <x v="1"/>
  </r>
  <r>
    <x v="966"/>
    <x v="0"/>
    <x v="0"/>
    <n v="17.899999999999999"/>
    <n v="17.899999999999999"/>
    <x v="38"/>
    <d v="2025-02-09T00:00:00"/>
    <x v="1"/>
    <x v="3"/>
    <x v="0"/>
    <x v="0"/>
    <x v="6"/>
    <x v="3"/>
    <x v="5"/>
    <x v="1"/>
  </r>
  <r>
    <x v="967"/>
    <x v="9"/>
    <x v="1"/>
    <n v="38.6"/>
    <n v="77.2"/>
    <x v="38"/>
    <d v="2025-02-12T00:00:00"/>
    <x v="2"/>
    <x v="4"/>
    <x v="0"/>
    <x v="0"/>
    <x v="7"/>
    <x v="5"/>
    <x v="5"/>
    <x v="2"/>
  </r>
  <r>
    <x v="968"/>
    <x v="5"/>
    <x v="9"/>
    <n v="32.700000000000003"/>
    <n v="163.5"/>
    <x v="38"/>
    <d v="2025-02-09T00:00:00"/>
    <x v="1"/>
    <x v="2"/>
    <x v="2"/>
    <x v="0"/>
    <x v="8"/>
    <x v="3"/>
    <x v="5"/>
    <x v="1"/>
  </r>
  <r>
    <x v="969"/>
    <x v="3"/>
    <x v="1"/>
    <n v="111.4"/>
    <n v="222.8"/>
    <x v="38"/>
    <d v="2025-02-09T00:00:00"/>
    <x v="2"/>
    <x v="1"/>
    <x v="0"/>
    <x v="0"/>
    <x v="8"/>
    <x v="3"/>
    <x v="5"/>
    <x v="2"/>
  </r>
  <r>
    <x v="970"/>
    <x v="2"/>
    <x v="13"/>
    <n v="80.3"/>
    <n v="481.79999999999995"/>
    <x v="38"/>
    <d v="2025-02-10T00:00:00"/>
    <x v="2"/>
    <x v="1"/>
    <x v="0"/>
    <x v="0"/>
    <x v="8"/>
    <x v="1"/>
    <x v="5"/>
    <x v="2"/>
  </r>
  <r>
    <x v="971"/>
    <x v="6"/>
    <x v="1"/>
    <n v="58.9"/>
    <n v="117.8"/>
    <x v="38"/>
    <d v="2025-02-09T00:00:00"/>
    <x v="1"/>
    <x v="1"/>
    <x v="0"/>
    <x v="0"/>
    <x v="8"/>
    <x v="3"/>
    <x v="5"/>
    <x v="1"/>
  </r>
  <r>
    <x v="972"/>
    <x v="6"/>
    <x v="2"/>
    <n v="51.9"/>
    <n v="155.69999999999999"/>
    <x v="38"/>
    <d v="2025-02-10T00:00:00"/>
    <x v="2"/>
    <x v="1"/>
    <x v="4"/>
    <x v="0"/>
    <x v="8"/>
    <x v="1"/>
    <x v="5"/>
    <x v="2"/>
  </r>
  <r>
    <x v="973"/>
    <x v="2"/>
    <x v="2"/>
    <n v="50.3"/>
    <n v="150.89999999999998"/>
    <x v="38"/>
    <d v="2025-02-09T00:00:00"/>
    <x v="1"/>
    <x v="2"/>
    <x v="0"/>
    <x v="0"/>
    <x v="17"/>
    <x v="3"/>
    <x v="5"/>
    <x v="1"/>
  </r>
  <r>
    <x v="974"/>
    <x v="11"/>
    <x v="13"/>
    <n v="45"/>
    <n v="270"/>
    <x v="38"/>
    <d v="2025-02-14T00:00:00"/>
    <x v="2"/>
    <x v="3"/>
    <x v="0"/>
    <x v="0"/>
    <x v="9"/>
    <x v="4"/>
    <x v="5"/>
    <x v="2"/>
  </r>
  <r>
    <x v="975"/>
    <x v="10"/>
    <x v="13"/>
    <n v="44.7"/>
    <n v="268.20000000000005"/>
    <x v="38"/>
    <d v="2025-02-10T00:00:00"/>
    <x v="2"/>
    <x v="2"/>
    <x v="0"/>
    <x v="0"/>
    <x v="11"/>
    <x v="1"/>
    <x v="5"/>
    <x v="2"/>
  </r>
  <r>
    <x v="976"/>
    <x v="18"/>
    <x v="20"/>
    <n v="33"/>
    <n v="495"/>
    <x v="38"/>
    <d v="2025-02-09T00:00:00"/>
    <x v="2"/>
    <x v="2"/>
    <x v="0"/>
    <x v="0"/>
    <x v="11"/>
    <x v="3"/>
    <x v="5"/>
    <x v="2"/>
  </r>
  <r>
    <x v="977"/>
    <x v="1"/>
    <x v="9"/>
    <n v="44.9"/>
    <n v="224.5"/>
    <x v="38"/>
    <d v="2025-02-11T00:00:00"/>
    <x v="2"/>
    <x v="2"/>
    <x v="2"/>
    <x v="0"/>
    <x v="18"/>
    <x v="2"/>
    <x v="5"/>
    <x v="2"/>
  </r>
  <r>
    <x v="978"/>
    <x v="10"/>
    <x v="1"/>
    <n v="34.6"/>
    <n v="69.2"/>
    <x v="38"/>
    <d v="2025-02-12T00:00:00"/>
    <x v="2"/>
    <x v="0"/>
    <x v="1"/>
    <x v="0"/>
    <x v="19"/>
    <x v="5"/>
    <x v="5"/>
    <x v="2"/>
  </r>
  <r>
    <x v="979"/>
    <x v="7"/>
    <x v="3"/>
    <n v="47.1"/>
    <n v="329.7"/>
    <x v="38"/>
    <d v="2025-02-13T00:00:00"/>
    <x v="2"/>
    <x v="0"/>
    <x v="0"/>
    <x v="0"/>
    <x v="13"/>
    <x v="0"/>
    <x v="5"/>
    <x v="2"/>
  </r>
  <r>
    <x v="980"/>
    <x v="4"/>
    <x v="9"/>
    <n v="26.1"/>
    <n v="130.5"/>
    <x v="38"/>
    <d v="2025-02-13T00:00:00"/>
    <x v="1"/>
    <x v="0"/>
    <x v="2"/>
    <x v="0"/>
    <x v="21"/>
    <x v="0"/>
    <x v="5"/>
    <x v="1"/>
  </r>
  <r>
    <x v="981"/>
    <x v="12"/>
    <x v="9"/>
    <n v="66.8"/>
    <n v="334"/>
    <x v="38"/>
    <d v="2025-02-11T00:00:00"/>
    <x v="2"/>
    <x v="0"/>
    <x v="0"/>
    <x v="0"/>
    <x v="21"/>
    <x v="2"/>
    <x v="5"/>
    <x v="2"/>
  </r>
  <r>
    <x v="982"/>
    <x v="2"/>
    <x v="1"/>
    <n v="167.9"/>
    <n v="335.8"/>
    <x v="38"/>
    <d v="2025-02-09T00:00:00"/>
    <x v="2"/>
    <x v="3"/>
    <x v="2"/>
    <x v="0"/>
    <x v="21"/>
    <x v="3"/>
    <x v="5"/>
    <x v="2"/>
  </r>
  <r>
    <x v="983"/>
    <x v="10"/>
    <x v="11"/>
    <n v="34.6"/>
    <n v="311.40000000000003"/>
    <x v="38"/>
    <d v="2025-02-09T00:00:00"/>
    <x v="2"/>
    <x v="2"/>
    <x v="1"/>
    <x v="0"/>
    <x v="21"/>
    <x v="3"/>
    <x v="5"/>
    <x v="2"/>
  </r>
  <r>
    <x v="984"/>
    <x v="8"/>
    <x v="2"/>
    <n v="35.1"/>
    <n v="105.30000000000001"/>
    <x v="39"/>
    <d v="2025-02-13T00:00:00"/>
    <x v="1"/>
    <x v="4"/>
    <x v="2"/>
    <x v="0"/>
    <x v="1"/>
    <x v="5"/>
    <x v="6"/>
    <x v="1"/>
  </r>
  <r>
    <x v="985"/>
    <x v="6"/>
    <x v="12"/>
    <n v="104.5"/>
    <n v="418"/>
    <x v="39"/>
    <d v="2025-02-10T00:00:00"/>
    <x v="1"/>
    <x v="1"/>
    <x v="1"/>
    <x v="0"/>
    <x v="1"/>
    <x v="3"/>
    <x v="6"/>
    <x v="1"/>
  </r>
  <r>
    <x v="986"/>
    <x v="8"/>
    <x v="0"/>
    <n v="37.9"/>
    <n v="37.9"/>
    <x v="39"/>
    <d v="2025-02-11T00:00:00"/>
    <x v="0"/>
    <x v="1"/>
    <x v="2"/>
    <x v="0"/>
    <x v="2"/>
    <x v="1"/>
    <x v="6"/>
    <x v="0"/>
  </r>
  <r>
    <x v="987"/>
    <x v="4"/>
    <x v="2"/>
    <n v="25.5"/>
    <n v="76.5"/>
    <x v="39"/>
    <d v="2025-02-12T00:00:00"/>
    <x v="1"/>
    <x v="3"/>
    <x v="0"/>
    <x v="0"/>
    <x v="2"/>
    <x v="2"/>
    <x v="6"/>
    <x v="1"/>
  </r>
  <r>
    <x v="988"/>
    <x v="0"/>
    <x v="2"/>
    <n v="32"/>
    <n v="96"/>
    <x v="39"/>
    <d v="2025-02-13T00:00:00"/>
    <x v="2"/>
    <x v="1"/>
    <x v="0"/>
    <x v="0"/>
    <x v="22"/>
    <x v="5"/>
    <x v="6"/>
    <x v="2"/>
  </r>
  <r>
    <x v="989"/>
    <x v="1"/>
    <x v="0"/>
    <n v="47.1"/>
    <n v="47.1"/>
    <x v="39"/>
    <d v="2025-02-10T00:00:00"/>
    <x v="2"/>
    <x v="0"/>
    <x v="0"/>
    <x v="0"/>
    <x v="34"/>
    <x v="3"/>
    <x v="6"/>
    <x v="2"/>
  </r>
  <r>
    <x v="990"/>
    <x v="6"/>
    <x v="1"/>
    <n v="50.6"/>
    <n v="101.2"/>
    <x v="39"/>
    <d v="2025-02-15T00:00:00"/>
    <x v="0"/>
    <x v="0"/>
    <x v="0"/>
    <x v="0"/>
    <x v="3"/>
    <x v="4"/>
    <x v="6"/>
    <x v="0"/>
  </r>
  <r>
    <x v="991"/>
    <x v="6"/>
    <x v="9"/>
    <n v="81.7"/>
    <n v="408.5"/>
    <x v="39"/>
    <d v="2025-02-10T00:00:00"/>
    <x v="2"/>
    <x v="1"/>
    <x v="2"/>
    <x v="0"/>
    <x v="3"/>
    <x v="3"/>
    <x v="6"/>
    <x v="2"/>
  </r>
  <r>
    <x v="992"/>
    <x v="5"/>
    <x v="1"/>
    <n v="50.7"/>
    <n v="101.4"/>
    <x v="39"/>
    <d v="2025-02-10T00:00:00"/>
    <x v="3"/>
    <x v="2"/>
    <x v="2"/>
    <x v="0"/>
    <x v="3"/>
    <x v="3"/>
    <x v="6"/>
    <x v="3"/>
  </r>
  <r>
    <x v="993"/>
    <x v="2"/>
    <x v="10"/>
    <n v="67.3"/>
    <n v="1278.7"/>
    <x v="39"/>
    <d v="2025-02-13T00:00:00"/>
    <x v="2"/>
    <x v="2"/>
    <x v="0"/>
    <x v="0"/>
    <x v="3"/>
    <x v="5"/>
    <x v="6"/>
    <x v="2"/>
  </r>
  <r>
    <x v="994"/>
    <x v="2"/>
    <x v="12"/>
    <n v="64.8"/>
    <n v="259.2"/>
    <x v="39"/>
    <d v="2025-02-12T00:00:00"/>
    <x v="2"/>
    <x v="3"/>
    <x v="0"/>
    <x v="0"/>
    <x v="3"/>
    <x v="2"/>
    <x v="6"/>
    <x v="2"/>
  </r>
  <r>
    <x v="995"/>
    <x v="5"/>
    <x v="32"/>
    <n v="61.3"/>
    <n v="1348.6"/>
    <x v="39"/>
    <d v="2025-02-10T00:00:00"/>
    <x v="2"/>
    <x v="0"/>
    <x v="2"/>
    <x v="0"/>
    <x v="3"/>
    <x v="3"/>
    <x v="6"/>
    <x v="2"/>
  </r>
  <r>
    <x v="996"/>
    <x v="14"/>
    <x v="0"/>
    <n v="32.9"/>
    <n v="32.9"/>
    <x v="39"/>
    <d v="2025-02-12T00:00:00"/>
    <x v="2"/>
    <x v="4"/>
    <x v="0"/>
    <x v="0"/>
    <x v="3"/>
    <x v="2"/>
    <x v="6"/>
    <x v="2"/>
  </r>
  <r>
    <x v="997"/>
    <x v="6"/>
    <x v="1"/>
    <n v="100.8"/>
    <n v="201.6"/>
    <x v="39"/>
    <d v="2025-02-12T00:00:00"/>
    <x v="2"/>
    <x v="0"/>
    <x v="0"/>
    <x v="0"/>
    <x v="3"/>
    <x v="2"/>
    <x v="6"/>
    <x v="2"/>
  </r>
  <r>
    <x v="998"/>
    <x v="8"/>
    <x v="12"/>
    <n v="25.1"/>
    <n v="100.4"/>
    <x v="39"/>
    <d v="2025-02-11T00:00:00"/>
    <x v="2"/>
    <x v="1"/>
    <x v="0"/>
    <x v="0"/>
    <x v="3"/>
    <x v="1"/>
    <x v="6"/>
    <x v="2"/>
  </r>
  <r>
    <x v="999"/>
    <x v="17"/>
    <x v="0"/>
    <n v="48.5"/>
    <n v="48.5"/>
    <x v="39"/>
    <d v="2025-02-10T00:00:00"/>
    <x v="2"/>
    <x v="0"/>
    <x v="1"/>
    <x v="0"/>
    <x v="3"/>
    <x v="3"/>
    <x v="6"/>
    <x v="2"/>
  </r>
  <r>
    <x v="1000"/>
    <x v="7"/>
    <x v="1"/>
    <n v="33.6"/>
    <n v="67.2"/>
    <x v="39"/>
    <d v="2025-02-13T00:00:00"/>
    <x v="2"/>
    <x v="2"/>
    <x v="2"/>
    <x v="0"/>
    <x v="3"/>
    <x v="5"/>
    <x v="6"/>
    <x v="2"/>
  </r>
  <r>
    <x v="1001"/>
    <x v="8"/>
    <x v="0"/>
    <n v="39.299999999999997"/>
    <n v="39.299999999999997"/>
    <x v="39"/>
    <d v="2025-02-20T00:00:00"/>
    <x v="2"/>
    <x v="1"/>
    <x v="1"/>
    <x v="0"/>
    <x v="49"/>
    <x v="11"/>
    <x v="6"/>
    <x v="2"/>
  </r>
  <r>
    <x v="1002"/>
    <x v="4"/>
    <x v="7"/>
    <n v="48.8"/>
    <n v="488"/>
    <x v="39"/>
    <d v="2025-02-11T00:00:00"/>
    <x v="2"/>
    <x v="3"/>
    <x v="1"/>
    <x v="0"/>
    <x v="25"/>
    <x v="1"/>
    <x v="6"/>
    <x v="2"/>
  </r>
  <r>
    <x v="1003"/>
    <x v="6"/>
    <x v="8"/>
    <n v="72.8"/>
    <n v="582.4"/>
    <x v="39"/>
    <d v="2025-02-11T00:00:00"/>
    <x v="1"/>
    <x v="1"/>
    <x v="2"/>
    <x v="0"/>
    <x v="5"/>
    <x v="1"/>
    <x v="6"/>
    <x v="1"/>
  </r>
  <r>
    <x v="1004"/>
    <x v="10"/>
    <x v="8"/>
    <n v="46.2"/>
    <n v="369.6"/>
    <x v="39"/>
    <d v="2025-02-10T00:00:00"/>
    <x v="1"/>
    <x v="3"/>
    <x v="4"/>
    <x v="0"/>
    <x v="5"/>
    <x v="3"/>
    <x v="6"/>
    <x v="1"/>
  </r>
  <r>
    <x v="1005"/>
    <x v="4"/>
    <x v="1"/>
    <n v="20.7"/>
    <n v="41.4"/>
    <x v="39"/>
    <d v="2025-02-10T00:00:00"/>
    <x v="2"/>
    <x v="2"/>
    <x v="3"/>
    <x v="0"/>
    <x v="6"/>
    <x v="3"/>
    <x v="6"/>
    <x v="2"/>
  </r>
  <r>
    <x v="1006"/>
    <x v="0"/>
    <x v="0"/>
    <n v="35.700000000000003"/>
    <n v="35.700000000000003"/>
    <x v="39"/>
    <d v="2025-02-11T00:00:00"/>
    <x v="2"/>
    <x v="3"/>
    <x v="0"/>
    <x v="0"/>
    <x v="6"/>
    <x v="1"/>
    <x v="6"/>
    <x v="2"/>
  </r>
  <r>
    <x v="1007"/>
    <x v="2"/>
    <x v="27"/>
    <n v="166.2"/>
    <n v="2659.2"/>
    <x v="39"/>
    <d v="2025-02-11T00:00:00"/>
    <x v="0"/>
    <x v="2"/>
    <x v="0"/>
    <x v="0"/>
    <x v="7"/>
    <x v="1"/>
    <x v="6"/>
    <x v="0"/>
  </r>
  <r>
    <x v="1008"/>
    <x v="6"/>
    <x v="12"/>
    <n v="85.8"/>
    <n v="343.2"/>
    <x v="39"/>
    <d v="2025-02-10T00:00:00"/>
    <x v="2"/>
    <x v="1"/>
    <x v="1"/>
    <x v="0"/>
    <x v="7"/>
    <x v="3"/>
    <x v="6"/>
    <x v="2"/>
  </r>
  <r>
    <x v="1009"/>
    <x v="8"/>
    <x v="2"/>
    <n v="26"/>
    <n v="78"/>
    <x v="39"/>
    <d v="2025-02-11T00:00:00"/>
    <x v="3"/>
    <x v="1"/>
    <x v="0"/>
    <x v="0"/>
    <x v="7"/>
    <x v="1"/>
    <x v="6"/>
    <x v="3"/>
  </r>
  <r>
    <x v="1010"/>
    <x v="2"/>
    <x v="15"/>
    <n v="116.6"/>
    <n v="1515.8"/>
    <x v="39"/>
    <d v="2025-02-12T00:00:00"/>
    <x v="2"/>
    <x v="0"/>
    <x v="0"/>
    <x v="0"/>
    <x v="8"/>
    <x v="2"/>
    <x v="6"/>
    <x v="2"/>
  </r>
  <r>
    <x v="1011"/>
    <x v="9"/>
    <x v="3"/>
    <n v="53.9"/>
    <n v="377.3"/>
    <x v="39"/>
    <d v="2025-02-12T00:00:00"/>
    <x v="3"/>
    <x v="0"/>
    <x v="2"/>
    <x v="0"/>
    <x v="8"/>
    <x v="2"/>
    <x v="6"/>
    <x v="3"/>
  </r>
  <r>
    <x v="1012"/>
    <x v="12"/>
    <x v="9"/>
    <n v="72.3"/>
    <n v="361.5"/>
    <x v="39"/>
    <d v="2025-02-11T00:00:00"/>
    <x v="0"/>
    <x v="2"/>
    <x v="2"/>
    <x v="0"/>
    <x v="8"/>
    <x v="1"/>
    <x v="6"/>
    <x v="0"/>
  </r>
  <r>
    <x v="1013"/>
    <x v="5"/>
    <x v="1"/>
    <n v="31.4"/>
    <n v="62.8"/>
    <x v="39"/>
    <d v="2025-02-11T00:00:00"/>
    <x v="2"/>
    <x v="0"/>
    <x v="0"/>
    <x v="0"/>
    <x v="8"/>
    <x v="1"/>
    <x v="6"/>
    <x v="2"/>
  </r>
  <r>
    <x v="1014"/>
    <x v="13"/>
    <x v="1"/>
    <n v="53.1"/>
    <n v="106.2"/>
    <x v="39"/>
    <d v="2025-02-12T00:00:00"/>
    <x v="1"/>
    <x v="1"/>
    <x v="0"/>
    <x v="0"/>
    <x v="8"/>
    <x v="2"/>
    <x v="6"/>
    <x v="1"/>
  </r>
  <r>
    <x v="1015"/>
    <x v="2"/>
    <x v="12"/>
    <n v="56.2"/>
    <n v="224.8"/>
    <x v="39"/>
    <d v="2025-02-10T00:00:00"/>
    <x v="2"/>
    <x v="0"/>
    <x v="0"/>
    <x v="0"/>
    <x v="8"/>
    <x v="3"/>
    <x v="6"/>
    <x v="2"/>
  </r>
  <r>
    <x v="1016"/>
    <x v="1"/>
    <x v="7"/>
    <n v="77.3"/>
    <n v="773"/>
    <x v="39"/>
    <d v="2025-02-10T00:00:00"/>
    <x v="2"/>
    <x v="2"/>
    <x v="0"/>
    <x v="0"/>
    <x v="11"/>
    <x v="3"/>
    <x v="6"/>
    <x v="2"/>
  </r>
  <r>
    <x v="1017"/>
    <x v="6"/>
    <x v="15"/>
    <n v="57.8"/>
    <n v="751.4"/>
    <x v="39"/>
    <d v="2025-02-10T00:00:00"/>
    <x v="0"/>
    <x v="0"/>
    <x v="0"/>
    <x v="0"/>
    <x v="53"/>
    <x v="3"/>
    <x v="6"/>
    <x v="0"/>
  </r>
  <r>
    <x v="1018"/>
    <x v="12"/>
    <x v="20"/>
    <n v="42.1"/>
    <n v="631.5"/>
    <x v="39"/>
    <d v="2025-02-11T00:00:00"/>
    <x v="2"/>
    <x v="1"/>
    <x v="1"/>
    <x v="0"/>
    <x v="53"/>
    <x v="1"/>
    <x v="6"/>
    <x v="2"/>
  </r>
  <r>
    <x v="1019"/>
    <x v="8"/>
    <x v="11"/>
    <n v="22.8"/>
    <n v="205.20000000000002"/>
    <x v="39"/>
    <d v="2025-02-13T00:00:00"/>
    <x v="1"/>
    <x v="2"/>
    <x v="2"/>
    <x v="0"/>
    <x v="19"/>
    <x v="5"/>
    <x v="6"/>
    <x v="1"/>
  </r>
  <r>
    <x v="1020"/>
    <x v="2"/>
    <x v="2"/>
    <n v="171.1"/>
    <n v="513.29999999999995"/>
    <x v="40"/>
    <d v="2025-02-17T00:00:00"/>
    <x v="2"/>
    <x v="2"/>
    <x v="1"/>
    <x v="0"/>
    <x v="19"/>
    <x v="6"/>
    <x v="6"/>
    <x v="2"/>
  </r>
  <r>
    <x v="1021"/>
    <x v="8"/>
    <x v="0"/>
    <n v="28"/>
    <n v="28"/>
    <x v="40"/>
    <d v="2025-02-12T00:00:00"/>
    <x v="1"/>
    <x v="2"/>
    <x v="2"/>
    <x v="0"/>
    <x v="21"/>
    <x v="1"/>
    <x v="6"/>
    <x v="1"/>
  </r>
  <r>
    <x v="1022"/>
    <x v="6"/>
    <x v="3"/>
    <n v="50.2"/>
    <n v="351.40000000000003"/>
    <x v="40"/>
    <d v="2025-02-12T00:00:00"/>
    <x v="1"/>
    <x v="2"/>
    <x v="0"/>
    <x v="0"/>
    <x v="21"/>
    <x v="1"/>
    <x v="6"/>
    <x v="1"/>
  </r>
  <r>
    <x v="1023"/>
    <x v="6"/>
    <x v="1"/>
    <n v="56"/>
    <n v="112"/>
    <x v="40"/>
    <d v="2025-02-10T00:00:00"/>
    <x v="1"/>
    <x v="0"/>
    <x v="2"/>
    <x v="0"/>
    <x v="22"/>
    <x v="7"/>
    <x v="6"/>
    <x v="1"/>
  </r>
  <r>
    <x v="1024"/>
    <x v="1"/>
    <x v="1"/>
    <n v="38.299999999999997"/>
    <n v="76.599999999999994"/>
    <x v="40"/>
    <d v="2025-02-11T00:00:00"/>
    <x v="2"/>
    <x v="1"/>
    <x v="0"/>
    <x v="0"/>
    <x v="3"/>
    <x v="3"/>
    <x v="6"/>
    <x v="2"/>
  </r>
  <r>
    <x v="1025"/>
    <x v="0"/>
    <x v="9"/>
    <n v="22.3"/>
    <n v="111.5"/>
    <x v="40"/>
    <d v="2025-02-14T00:00:00"/>
    <x v="2"/>
    <x v="2"/>
    <x v="1"/>
    <x v="0"/>
    <x v="3"/>
    <x v="5"/>
    <x v="6"/>
    <x v="2"/>
  </r>
  <r>
    <x v="1026"/>
    <x v="0"/>
    <x v="2"/>
    <n v="22.3"/>
    <n v="66.900000000000006"/>
    <x v="40"/>
    <d v="2025-02-13T00:00:00"/>
    <x v="2"/>
    <x v="2"/>
    <x v="0"/>
    <x v="0"/>
    <x v="3"/>
    <x v="2"/>
    <x v="6"/>
    <x v="2"/>
  </r>
  <r>
    <x v="1027"/>
    <x v="1"/>
    <x v="0"/>
    <n v="32.9"/>
    <n v="32.9"/>
    <x v="40"/>
    <d v="2025-02-15T00:00:00"/>
    <x v="2"/>
    <x v="0"/>
    <x v="0"/>
    <x v="0"/>
    <x v="3"/>
    <x v="0"/>
    <x v="6"/>
    <x v="2"/>
  </r>
  <r>
    <x v="1028"/>
    <x v="10"/>
    <x v="2"/>
    <n v="31.9"/>
    <n v="95.699999999999989"/>
    <x v="40"/>
    <d v="2025-02-15T00:00:00"/>
    <x v="2"/>
    <x v="0"/>
    <x v="0"/>
    <x v="0"/>
    <x v="3"/>
    <x v="0"/>
    <x v="6"/>
    <x v="2"/>
  </r>
  <r>
    <x v="1029"/>
    <x v="6"/>
    <x v="1"/>
    <n v="94"/>
    <n v="188"/>
    <x v="40"/>
    <d v="2025-02-11T00:00:00"/>
    <x v="1"/>
    <x v="2"/>
    <x v="2"/>
    <x v="0"/>
    <x v="3"/>
    <x v="3"/>
    <x v="6"/>
    <x v="1"/>
  </r>
  <r>
    <x v="1030"/>
    <x v="10"/>
    <x v="1"/>
    <n v="30.7"/>
    <n v="61.4"/>
    <x v="40"/>
    <d v="2025-02-11T00:00:00"/>
    <x v="2"/>
    <x v="0"/>
    <x v="1"/>
    <x v="0"/>
    <x v="3"/>
    <x v="3"/>
    <x v="6"/>
    <x v="2"/>
  </r>
  <r>
    <x v="1031"/>
    <x v="5"/>
    <x v="9"/>
    <n v="90.5"/>
    <n v="452.5"/>
    <x v="40"/>
    <d v="2025-02-17T00:00:00"/>
    <x v="1"/>
    <x v="0"/>
    <x v="2"/>
    <x v="0"/>
    <x v="3"/>
    <x v="6"/>
    <x v="6"/>
    <x v="1"/>
  </r>
  <r>
    <x v="1032"/>
    <x v="8"/>
    <x v="9"/>
    <n v="25.3"/>
    <n v="126.5"/>
    <x v="40"/>
    <d v="2025-02-14T00:00:00"/>
    <x v="2"/>
    <x v="0"/>
    <x v="2"/>
    <x v="0"/>
    <x v="3"/>
    <x v="5"/>
    <x v="6"/>
    <x v="2"/>
  </r>
  <r>
    <x v="1033"/>
    <x v="6"/>
    <x v="2"/>
    <n v="58.1"/>
    <n v="174.3"/>
    <x v="40"/>
    <d v="2025-02-14T00:00:00"/>
    <x v="0"/>
    <x v="0"/>
    <x v="2"/>
    <x v="0"/>
    <x v="3"/>
    <x v="5"/>
    <x v="6"/>
    <x v="0"/>
  </r>
  <r>
    <x v="1034"/>
    <x v="2"/>
    <x v="2"/>
    <n v="74.900000000000006"/>
    <n v="224.70000000000002"/>
    <x v="40"/>
    <d v="2025-02-11T00:00:00"/>
    <x v="2"/>
    <x v="4"/>
    <x v="0"/>
    <x v="0"/>
    <x v="3"/>
    <x v="3"/>
    <x v="6"/>
    <x v="2"/>
  </r>
  <r>
    <x v="1035"/>
    <x v="4"/>
    <x v="1"/>
    <n v="32.5"/>
    <n v="65"/>
    <x v="40"/>
    <d v="2025-02-11T00:00:00"/>
    <x v="1"/>
    <x v="2"/>
    <x v="2"/>
    <x v="0"/>
    <x v="43"/>
    <x v="3"/>
    <x v="6"/>
    <x v="1"/>
  </r>
  <r>
    <x v="1036"/>
    <x v="4"/>
    <x v="9"/>
    <n v="62"/>
    <n v="310"/>
    <x v="40"/>
    <d v="2025-02-11T00:00:00"/>
    <x v="1"/>
    <x v="4"/>
    <x v="2"/>
    <x v="0"/>
    <x v="25"/>
    <x v="3"/>
    <x v="6"/>
    <x v="1"/>
  </r>
  <r>
    <x v="1037"/>
    <x v="13"/>
    <x v="13"/>
    <n v="28.9"/>
    <n v="173.39999999999998"/>
    <x v="40"/>
    <d v="2025-02-13T00:00:00"/>
    <x v="2"/>
    <x v="0"/>
    <x v="1"/>
    <x v="0"/>
    <x v="6"/>
    <x v="2"/>
    <x v="6"/>
    <x v="2"/>
  </r>
  <r>
    <x v="1038"/>
    <x v="6"/>
    <x v="8"/>
    <n v="42.8"/>
    <n v="342.4"/>
    <x v="40"/>
    <d v="2025-02-12T00:00:00"/>
    <x v="2"/>
    <x v="0"/>
    <x v="2"/>
    <x v="0"/>
    <x v="6"/>
    <x v="1"/>
    <x v="6"/>
    <x v="2"/>
  </r>
  <r>
    <x v="1039"/>
    <x v="8"/>
    <x v="8"/>
    <n v="39.4"/>
    <n v="315.2"/>
    <x v="40"/>
    <d v="2025-02-12T00:00:00"/>
    <x v="1"/>
    <x v="0"/>
    <x v="0"/>
    <x v="0"/>
    <x v="36"/>
    <x v="1"/>
    <x v="6"/>
    <x v="1"/>
  </r>
  <r>
    <x v="1040"/>
    <x v="18"/>
    <x v="2"/>
    <n v="66.400000000000006"/>
    <n v="199.20000000000002"/>
    <x v="40"/>
    <d v="2025-02-11T00:00:00"/>
    <x v="0"/>
    <x v="2"/>
    <x v="1"/>
    <x v="0"/>
    <x v="7"/>
    <x v="3"/>
    <x v="6"/>
    <x v="0"/>
  </r>
  <r>
    <x v="1041"/>
    <x v="17"/>
    <x v="12"/>
    <n v="35.9"/>
    <n v="143.6"/>
    <x v="40"/>
    <d v="2025-02-17T00:00:00"/>
    <x v="2"/>
    <x v="1"/>
    <x v="0"/>
    <x v="0"/>
    <x v="7"/>
    <x v="6"/>
    <x v="6"/>
    <x v="2"/>
  </r>
  <r>
    <x v="1042"/>
    <x v="0"/>
    <x v="12"/>
    <n v="26.9"/>
    <n v="107.6"/>
    <x v="40"/>
    <d v="2025-02-11T00:00:00"/>
    <x v="1"/>
    <x v="1"/>
    <x v="0"/>
    <x v="0"/>
    <x v="7"/>
    <x v="3"/>
    <x v="6"/>
    <x v="1"/>
  </r>
  <r>
    <x v="1043"/>
    <x v="2"/>
    <x v="0"/>
    <n v="55.1"/>
    <n v="55.1"/>
    <x v="40"/>
    <d v="2025-02-11T00:00:00"/>
    <x v="2"/>
    <x v="0"/>
    <x v="0"/>
    <x v="0"/>
    <x v="7"/>
    <x v="3"/>
    <x v="6"/>
    <x v="2"/>
  </r>
  <r>
    <x v="1044"/>
    <x v="4"/>
    <x v="1"/>
    <n v="23.9"/>
    <n v="47.8"/>
    <x v="40"/>
    <d v="2025-02-11T00:00:00"/>
    <x v="1"/>
    <x v="0"/>
    <x v="2"/>
    <x v="0"/>
    <x v="8"/>
    <x v="3"/>
    <x v="6"/>
    <x v="1"/>
  </r>
  <r>
    <x v="1045"/>
    <x v="9"/>
    <x v="15"/>
    <n v="21.1"/>
    <n v="274.3"/>
    <x v="40"/>
    <d v="2025-02-18T00:00:00"/>
    <x v="2"/>
    <x v="0"/>
    <x v="1"/>
    <x v="0"/>
    <x v="8"/>
    <x v="9"/>
    <x v="6"/>
    <x v="2"/>
  </r>
  <r>
    <x v="1046"/>
    <x v="8"/>
    <x v="9"/>
    <n v="33.799999999999997"/>
    <n v="169"/>
    <x v="40"/>
    <d v="2025-02-12T00:00:00"/>
    <x v="2"/>
    <x v="0"/>
    <x v="0"/>
    <x v="0"/>
    <x v="8"/>
    <x v="1"/>
    <x v="6"/>
    <x v="2"/>
  </r>
  <r>
    <x v="1047"/>
    <x v="2"/>
    <x v="12"/>
    <n v="56.1"/>
    <n v="224.4"/>
    <x v="40"/>
    <d v="2025-02-10T00:00:00"/>
    <x v="2"/>
    <x v="3"/>
    <x v="2"/>
    <x v="0"/>
    <x v="9"/>
    <x v="7"/>
    <x v="6"/>
    <x v="2"/>
  </r>
  <r>
    <x v="1048"/>
    <x v="3"/>
    <x v="0"/>
    <n v="58.5"/>
    <n v="58.5"/>
    <x v="41"/>
    <d v="2025-02-15T00:00:00"/>
    <x v="2"/>
    <x v="1"/>
    <x v="2"/>
    <x v="0"/>
    <x v="9"/>
    <x v="5"/>
    <x v="6"/>
    <x v="2"/>
  </r>
  <r>
    <x v="1049"/>
    <x v="6"/>
    <x v="0"/>
    <n v="84.2"/>
    <n v="84.2"/>
    <x v="41"/>
    <d v="2025-02-13T00:00:00"/>
    <x v="1"/>
    <x v="3"/>
    <x v="0"/>
    <x v="0"/>
    <x v="11"/>
    <x v="1"/>
    <x v="6"/>
    <x v="1"/>
  </r>
  <r>
    <x v="1050"/>
    <x v="11"/>
    <x v="12"/>
    <n v="52"/>
    <n v="208"/>
    <x v="41"/>
    <d v="2025-02-14T00:00:00"/>
    <x v="1"/>
    <x v="0"/>
    <x v="0"/>
    <x v="0"/>
    <x v="11"/>
    <x v="2"/>
    <x v="6"/>
    <x v="1"/>
  </r>
  <r>
    <x v="1051"/>
    <x v="4"/>
    <x v="9"/>
    <n v="31.5"/>
    <n v="157.5"/>
    <x v="41"/>
    <d v="2025-02-12T00:00:00"/>
    <x v="2"/>
    <x v="0"/>
    <x v="2"/>
    <x v="0"/>
    <x v="11"/>
    <x v="3"/>
    <x v="6"/>
    <x v="2"/>
  </r>
  <r>
    <x v="1052"/>
    <x v="16"/>
    <x v="2"/>
    <n v="46.2"/>
    <n v="138.60000000000002"/>
    <x v="41"/>
    <d v="2025-02-12T00:00:00"/>
    <x v="1"/>
    <x v="0"/>
    <x v="0"/>
    <x v="0"/>
    <x v="53"/>
    <x v="3"/>
    <x v="6"/>
    <x v="1"/>
  </r>
  <r>
    <x v="1053"/>
    <x v="2"/>
    <x v="13"/>
    <n v="135"/>
    <n v="810"/>
    <x v="41"/>
    <d v="2025-02-12T00:00:00"/>
    <x v="2"/>
    <x v="1"/>
    <x v="2"/>
    <x v="0"/>
    <x v="18"/>
    <x v="3"/>
    <x v="6"/>
    <x v="2"/>
  </r>
  <r>
    <x v="1054"/>
    <x v="12"/>
    <x v="2"/>
    <n v="92.2"/>
    <n v="276.60000000000002"/>
    <x v="41"/>
    <d v="2025-02-15T00:00:00"/>
    <x v="1"/>
    <x v="0"/>
    <x v="0"/>
    <x v="0"/>
    <x v="21"/>
    <x v="5"/>
    <x v="6"/>
    <x v="1"/>
  </r>
  <r>
    <x v="1055"/>
    <x v="8"/>
    <x v="0"/>
    <n v="36.6"/>
    <n v="36.6"/>
    <x v="41"/>
    <d v="2025-02-13T00:00:00"/>
    <x v="1"/>
    <x v="2"/>
    <x v="2"/>
    <x v="0"/>
    <x v="21"/>
    <x v="1"/>
    <x v="6"/>
    <x v="1"/>
  </r>
  <r>
    <x v="1056"/>
    <x v="9"/>
    <x v="1"/>
    <n v="50.6"/>
    <n v="101.2"/>
    <x v="41"/>
    <d v="2025-02-14T00:00:00"/>
    <x v="2"/>
    <x v="0"/>
    <x v="0"/>
    <x v="0"/>
    <x v="2"/>
    <x v="2"/>
    <x v="6"/>
    <x v="2"/>
  </r>
  <r>
    <x v="1057"/>
    <x v="18"/>
    <x v="3"/>
    <n v="56.7"/>
    <n v="396.90000000000003"/>
    <x v="41"/>
    <d v="2025-02-14T00:00:00"/>
    <x v="2"/>
    <x v="0"/>
    <x v="0"/>
    <x v="0"/>
    <x v="2"/>
    <x v="2"/>
    <x v="6"/>
    <x v="2"/>
  </r>
  <r>
    <x v="1058"/>
    <x v="9"/>
    <x v="15"/>
    <n v="22.9"/>
    <n v="297.7"/>
    <x v="41"/>
    <d v="2025-02-12T00:00:00"/>
    <x v="2"/>
    <x v="0"/>
    <x v="1"/>
    <x v="0"/>
    <x v="44"/>
    <x v="3"/>
    <x v="6"/>
    <x v="2"/>
  </r>
  <r>
    <x v="1059"/>
    <x v="15"/>
    <x v="10"/>
    <n v="53.6"/>
    <n v="1018.4"/>
    <x v="41"/>
    <d v="2025-02-12T00:00:00"/>
    <x v="1"/>
    <x v="0"/>
    <x v="0"/>
    <x v="0"/>
    <x v="22"/>
    <x v="3"/>
    <x v="6"/>
    <x v="1"/>
  </r>
  <r>
    <x v="1060"/>
    <x v="18"/>
    <x v="1"/>
    <n v="30.2"/>
    <n v="60.4"/>
    <x v="41"/>
    <d v="2025-02-13T00:00:00"/>
    <x v="0"/>
    <x v="2"/>
    <x v="2"/>
    <x v="0"/>
    <x v="3"/>
    <x v="1"/>
    <x v="6"/>
    <x v="0"/>
  </r>
  <r>
    <x v="1061"/>
    <x v="15"/>
    <x v="13"/>
    <n v="83.4"/>
    <n v="500.40000000000003"/>
    <x v="41"/>
    <d v="2025-02-12T00:00:00"/>
    <x v="1"/>
    <x v="1"/>
    <x v="2"/>
    <x v="0"/>
    <x v="3"/>
    <x v="3"/>
    <x v="6"/>
    <x v="1"/>
  </r>
  <r>
    <x v="1062"/>
    <x v="13"/>
    <x v="4"/>
    <n v="16.600000000000001"/>
    <n v="199.20000000000002"/>
    <x v="41"/>
    <d v="2025-02-13T00:00:00"/>
    <x v="1"/>
    <x v="1"/>
    <x v="0"/>
    <x v="0"/>
    <x v="3"/>
    <x v="1"/>
    <x v="6"/>
    <x v="1"/>
  </r>
  <r>
    <x v="1063"/>
    <x v="8"/>
    <x v="14"/>
    <n v="21.9"/>
    <n v="372.29999999999995"/>
    <x v="41"/>
    <d v="2025-02-13T00:00:00"/>
    <x v="2"/>
    <x v="4"/>
    <x v="1"/>
    <x v="0"/>
    <x v="3"/>
    <x v="1"/>
    <x v="6"/>
    <x v="2"/>
  </r>
  <r>
    <x v="1064"/>
    <x v="8"/>
    <x v="31"/>
    <n v="33.799999999999997"/>
    <n v="946.39999999999986"/>
    <x v="41"/>
    <d v="2025-02-13T00:00:00"/>
    <x v="1"/>
    <x v="2"/>
    <x v="4"/>
    <x v="0"/>
    <x v="3"/>
    <x v="1"/>
    <x v="6"/>
    <x v="1"/>
  </r>
  <r>
    <x v="1065"/>
    <x v="18"/>
    <x v="1"/>
    <n v="53.2"/>
    <n v="106.4"/>
    <x v="41"/>
    <d v="2025-02-11T00:00:00"/>
    <x v="1"/>
    <x v="1"/>
    <x v="0"/>
    <x v="0"/>
    <x v="3"/>
    <x v="7"/>
    <x v="6"/>
    <x v="1"/>
  </r>
  <r>
    <x v="1066"/>
    <x v="2"/>
    <x v="1"/>
    <n v="176.7"/>
    <n v="353.4"/>
    <x v="41"/>
    <d v="2025-02-14T00:00:00"/>
    <x v="2"/>
    <x v="2"/>
    <x v="0"/>
    <x v="0"/>
    <x v="3"/>
    <x v="2"/>
    <x v="6"/>
    <x v="2"/>
  </r>
  <r>
    <x v="1067"/>
    <x v="12"/>
    <x v="2"/>
    <n v="54"/>
    <n v="162"/>
    <x v="41"/>
    <d v="2025-02-14T00:00:00"/>
    <x v="1"/>
    <x v="0"/>
    <x v="1"/>
    <x v="0"/>
    <x v="3"/>
    <x v="2"/>
    <x v="6"/>
    <x v="1"/>
  </r>
  <r>
    <x v="1068"/>
    <x v="9"/>
    <x v="1"/>
    <n v="70.099999999999994"/>
    <n v="140.19999999999999"/>
    <x v="41"/>
    <d v="2025-02-19T00:00:00"/>
    <x v="2"/>
    <x v="3"/>
    <x v="2"/>
    <x v="0"/>
    <x v="3"/>
    <x v="9"/>
    <x v="6"/>
    <x v="2"/>
  </r>
  <r>
    <x v="1069"/>
    <x v="8"/>
    <x v="0"/>
    <n v="26.5"/>
    <n v="26.5"/>
    <x v="41"/>
    <d v="2025-02-13T00:00:00"/>
    <x v="2"/>
    <x v="1"/>
    <x v="0"/>
    <x v="0"/>
    <x v="3"/>
    <x v="1"/>
    <x v="6"/>
    <x v="2"/>
  </r>
  <r>
    <x v="1070"/>
    <x v="7"/>
    <x v="9"/>
    <n v="89"/>
    <n v="445"/>
    <x v="41"/>
    <d v="2025-02-13T00:00:00"/>
    <x v="1"/>
    <x v="2"/>
    <x v="4"/>
    <x v="0"/>
    <x v="3"/>
    <x v="1"/>
    <x v="6"/>
    <x v="1"/>
  </r>
  <r>
    <x v="1071"/>
    <x v="1"/>
    <x v="13"/>
    <n v="47"/>
    <n v="282"/>
    <x v="41"/>
    <d v="2025-02-14T00:00:00"/>
    <x v="2"/>
    <x v="3"/>
    <x v="0"/>
    <x v="0"/>
    <x v="24"/>
    <x v="2"/>
    <x v="6"/>
    <x v="2"/>
  </r>
  <r>
    <x v="1072"/>
    <x v="3"/>
    <x v="1"/>
    <n v="55.2"/>
    <n v="110.4"/>
    <x v="41"/>
    <d v="2025-02-14T00:00:00"/>
    <x v="1"/>
    <x v="1"/>
    <x v="1"/>
    <x v="0"/>
    <x v="6"/>
    <x v="2"/>
    <x v="6"/>
    <x v="1"/>
  </r>
  <r>
    <x v="1073"/>
    <x v="8"/>
    <x v="39"/>
    <n v="33.299999999999997"/>
    <n v="1398.6"/>
    <x v="41"/>
    <d v="2025-02-25T00:00:00"/>
    <x v="1"/>
    <x v="1"/>
    <x v="2"/>
    <x v="0"/>
    <x v="6"/>
    <x v="12"/>
    <x v="6"/>
    <x v="1"/>
  </r>
  <r>
    <x v="1074"/>
    <x v="2"/>
    <x v="12"/>
    <n v="110.9"/>
    <n v="443.6"/>
    <x v="42"/>
    <d v="2025-02-12T00:00:00"/>
    <x v="1"/>
    <x v="2"/>
    <x v="4"/>
    <x v="0"/>
    <x v="6"/>
    <x v="7"/>
    <x v="6"/>
    <x v="1"/>
  </r>
  <r>
    <x v="1075"/>
    <x v="2"/>
    <x v="13"/>
    <n v="67.3"/>
    <n v="403.79999999999995"/>
    <x v="42"/>
    <d v="2025-02-13T00:00:00"/>
    <x v="1"/>
    <x v="0"/>
    <x v="0"/>
    <x v="0"/>
    <x v="8"/>
    <x v="3"/>
    <x v="6"/>
    <x v="1"/>
  </r>
  <r>
    <x v="1076"/>
    <x v="6"/>
    <x v="2"/>
    <n v="69.7"/>
    <n v="209.10000000000002"/>
    <x v="42"/>
    <d v="2025-02-13T00:00:00"/>
    <x v="1"/>
    <x v="2"/>
    <x v="1"/>
    <x v="0"/>
    <x v="8"/>
    <x v="3"/>
    <x v="6"/>
    <x v="1"/>
  </r>
  <r>
    <x v="1077"/>
    <x v="5"/>
    <x v="0"/>
    <n v="39.1"/>
    <n v="39.1"/>
    <x v="42"/>
    <d v="2025-02-17T00:00:00"/>
    <x v="1"/>
    <x v="0"/>
    <x v="1"/>
    <x v="0"/>
    <x v="17"/>
    <x v="0"/>
    <x v="6"/>
    <x v="1"/>
  </r>
  <r>
    <x v="1078"/>
    <x v="2"/>
    <x v="2"/>
    <n v="208.6"/>
    <n v="625.79999999999995"/>
    <x v="42"/>
    <d v="2025-02-12T00:00:00"/>
    <x v="1"/>
    <x v="4"/>
    <x v="2"/>
    <x v="0"/>
    <x v="17"/>
    <x v="7"/>
    <x v="6"/>
    <x v="1"/>
  </r>
  <r>
    <x v="1079"/>
    <x v="15"/>
    <x v="2"/>
    <n v="27.8"/>
    <n v="83.4"/>
    <x v="42"/>
    <d v="2025-02-13T00:00:00"/>
    <x v="1"/>
    <x v="3"/>
    <x v="1"/>
    <x v="0"/>
    <x v="11"/>
    <x v="3"/>
    <x v="6"/>
    <x v="1"/>
  </r>
  <r>
    <x v="1080"/>
    <x v="10"/>
    <x v="9"/>
    <n v="29.4"/>
    <n v="147"/>
    <x v="42"/>
    <d v="2025-02-14T00:00:00"/>
    <x v="2"/>
    <x v="0"/>
    <x v="0"/>
    <x v="0"/>
    <x v="11"/>
    <x v="1"/>
    <x v="6"/>
    <x v="2"/>
  </r>
  <r>
    <x v="1081"/>
    <x v="9"/>
    <x v="1"/>
    <n v="29.2"/>
    <n v="58.4"/>
    <x v="42"/>
    <d v="2025-02-14T00:00:00"/>
    <x v="2"/>
    <x v="1"/>
    <x v="2"/>
    <x v="0"/>
    <x v="20"/>
    <x v="1"/>
    <x v="6"/>
    <x v="2"/>
  </r>
  <r>
    <x v="1082"/>
    <x v="10"/>
    <x v="9"/>
    <n v="26.5"/>
    <n v="132.5"/>
    <x v="42"/>
    <d v="2025-02-14T00:00:00"/>
    <x v="2"/>
    <x v="0"/>
    <x v="0"/>
    <x v="0"/>
    <x v="52"/>
    <x v="1"/>
    <x v="6"/>
    <x v="2"/>
  </r>
  <r>
    <x v="1083"/>
    <x v="5"/>
    <x v="0"/>
    <n v="30.3"/>
    <n v="30.3"/>
    <x v="42"/>
    <d v="2025-02-13T00:00:00"/>
    <x v="2"/>
    <x v="4"/>
    <x v="1"/>
    <x v="0"/>
    <x v="13"/>
    <x v="3"/>
    <x v="6"/>
    <x v="2"/>
  </r>
  <r>
    <x v="1084"/>
    <x v="16"/>
    <x v="4"/>
    <n v="39.700000000000003"/>
    <n v="476.40000000000003"/>
    <x v="42"/>
    <d v="2025-02-13T00:00:00"/>
    <x v="2"/>
    <x v="0"/>
    <x v="0"/>
    <x v="0"/>
    <x v="21"/>
    <x v="3"/>
    <x v="6"/>
    <x v="2"/>
  </r>
  <r>
    <x v="1085"/>
    <x v="7"/>
    <x v="7"/>
    <n v="58.9"/>
    <n v="589"/>
    <x v="42"/>
    <d v="2025-02-14T00:00:00"/>
    <x v="2"/>
    <x v="1"/>
    <x v="4"/>
    <x v="0"/>
    <x v="21"/>
    <x v="1"/>
    <x v="6"/>
    <x v="2"/>
  </r>
  <r>
    <x v="1086"/>
    <x v="2"/>
    <x v="1"/>
    <n v="174.1"/>
    <n v="348.2"/>
    <x v="42"/>
    <d v="2025-02-14T00:00:00"/>
    <x v="2"/>
    <x v="0"/>
    <x v="1"/>
    <x v="0"/>
    <x v="46"/>
    <x v="1"/>
    <x v="6"/>
    <x v="2"/>
  </r>
  <r>
    <x v="1087"/>
    <x v="6"/>
    <x v="1"/>
    <n v="70.8"/>
    <n v="141.6"/>
    <x v="42"/>
    <d v="2025-02-15T00:00:00"/>
    <x v="1"/>
    <x v="2"/>
    <x v="0"/>
    <x v="0"/>
    <x v="22"/>
    <x v="2"/>
    <x v="6"/>
    <x v="1"/>
  </r>
  <r>
    <x v="1088"/>
    <x v="7"/>
    <x v="1"/>
    <n v="57.4"/>
    <n v="114.8"/>
    <x v="42"/>
    <d v="2025-02-14T00:00:00"/>
    <x v="2"/>
    <x v="1"/>
    <x v="1"/>
    <x v="0"/>
    <x v="34"/>
    <x v="1"/>
    <x v="6"/>
    <x v="2"/>
  </r>
  <r>
    <x v="1089"/>
    <x v="0"/>
    <x v="1"/>
    <n v="28.5"/>
    <n v="57"/>
    <x v="42"/>
    <d v="2025-02-14T00:00:00"/>
    <x v="1"/>
    <x v="3"/>
    <x v="1"/>
    <x v="0"/>
    <x v="3"/>
    <x v="1"/>
    <x v="6"/>
    <x v="1"/>
  </r>
  <r>
    <x v="1090"/>
    <x v="2"/>
    <x v="28"/>
    <n v="106.6"/>
    <n v="2132"/>
    <x v="42"/>
    <d v="2025-02-13T00:00:00"/>
    <x v="0"/>
    <x v="1"/>
    <x v="4"/>
    <x v="0"/>
    <x v="3"/>
    <x v="3"/>
    <x v="6"/>
    <x v="0"/>
  </r>
  <r>
    <x v="1091"/>
    <x v="2"/>
    <x v="2"/>
    <n v="119.7"/>
    <n v="359.1"/>
    <x v="42"/>
    <d v="2025-02-13T00:00:00"/>
    <x v="2"/>
    <x v="1"/>
    <x v="4"/>
    <x v="0"/>
    <x v="3"/>
    <x v="3"/>
    <x v="6"/>
    <x v="2"/>
  </r>
  <r>
    <x v="1092"/>
    <x v="18"/>
    <x v="0"/>
    <n v="73.3"/>
    <n v="73.3"/>
    <x v="42"/>
    <d v="2025-02-17T00:00:00"/>
    <x v="2"/>
    <x v="0"/>
    <x v="2"/>
    <x v="0"/>
    <x v="3"/>
    <x v="0"/>
    <x v="6"/>
    <x v="2"/>
  </r>
  <r>
    <x v="1093"/>
    <x v="0"/>
    <x v="1"/>
    <n v="25.8"/>
    <n v="51.6"/>
    <x v="42"/>
    <d v="2025-02-26T00:00:00"/>
    <x v="1"/>
    <x v="2"/>
    <x v="0"/>
    <x v="0"/>
    <x v="3"/>
    <x v="12"/>
    <x v="6"/>
    <x v="1"/>
  </r>
  <r>
    <x v="1094"/>
    <x v="17"/>
    <x v="2"/>
    <n v="49.1"/>
    <n v="147.30000000000001"/>
    <x v="42"/>
    <d v="2025-02-14T00:00:00"/>
    <x v="2"/>
    <x v="0"/>
    <x v="0"/>
    <x v="0"/>
    <x v="24"/>
    <x v="1"/>
    <x v="6"/>
    <x v="2"/>
  </r>
  <r>
    <x v="1095"/>
    <x v="1"/>
    <x v="0"/>
    <n v="44.9"/>
    <n v="44.9"/>
    <x v="42"/>
    <d v="2025-02-15T00:00:00"/>
    <x v="2"/>
    <x v="3"/>
    <x v="2"/>
    <x v="0"/>
    <x v="6"/>
    <x v="2"/>
    <x v="6"/>
    <x v="2"/>
  </r>
  <r>
    <x v="1096"/>
    <x v="15"/>
    <x v="3"/>
    <n v="29.9"/>
    <n v="209.29999999999998"/>
    <x v="42"/>
    <d v="2025-02-13T00:00:00"/>
    <x v="2"/>
    <x v="0"/>
    <x v="0"/>
    <x v="0"/>
    <x v="6"/>
    <x v="3"/>
    <x v="6"/>
    <x v="2"/>
  </r>
  <r>
    <x v="1097"/>
    <x v="7"/>
    <x v="1"/>
    <n v="54.3"/>
    <n v="108.6"/>
    <x v="43"/>
    <d v="2025-02-14T00:00:00"/>
    <x v="1"/>
    <x v="3"/>
    <x v="0"/>
    <x v="0"/>
    <x v="36"/>
    <x v="3"/>
    <x v="6"/>
    <x v="1"/>
  </r>
  <r>
    <x v="1098"/>
    <x v="9"/>
    <x v="12"/>
    <n v="57"/>
    <n v="228"/>
    <x v="43"/>
    <d v="2025-02-15T00:00:00"/>
    <x v="2"/>
    <x v="0"/>
    <x v="0"/>
    <x v="0"/>
    <x v="8"/>
    <x v="1"/>
    <x v="6"/>
    <x v="2"/>
  </r>
  <r>
    <x v="1099"/>
    <x v="2"/>
    <x v="0"/>
    <n v="139.19999999999999"/>
    <n v="139.19999999999999"/>
    <x v="43"/>
    <d v="2025-02-14T00:00:00"/>
    <x v="2"/>
    <x v="3"/>
    <x v="2"/>
    <x v="0"/>
    <x v="8"/>
    <x v="3"/>
    <x v="6"/>
    <x v="2"/>
  </r>
  <r>
    <x v="1100"/>
    <x v="10"/>
    <x v="0"/>
    <n v="33"/>
    <n v="33"/>
    <x v="43"/>
    <d v="2025-02-16T00:00:00"/>
    <x v="2"/>
    <x v="0"/>
    <x v="2"/>
    <x v="0"/>
    <x v="8"/>
    <x v="2"/>
    <x v="6"/>
    <x v="2"/>
  </r>
  <r>
    <x v="1101"/>
    <x v="11"/>
    <x v="13"/>
    <n v="80.2"/>
    <n v="481.20000000000005"/>
    <x v="43"/>
    <d v="2025-02-15T00:00:00"/>
    <x v="1"/>
    <x v="1"/>
    <x v="4"/>
    <x v="0"/>
    <x v="8"/>
    <x v="1"/>
    <x v="6"/>
    <x v="1"/>
  </r>
  <r>
    <x v="1102"/>
    <x v="18"/>
    <x v="8"/>
    <n v="49"/>
    <n v="392"/>
    <x v="43"/>
    <d v="2025-02-14T00:00:00"/>
    <x v="0"/>
    <x v="2"/>
    <x v="1"/>
    <x v="0"/>
    <x v="9"/>
    <x v="3"/>
    <x v="6"/>
    <x v="0"/>
  </r>
  <r>
    <x v="1103"/>
    <x v="1"/>
    <x v="12"/>
    <n v="104.4"/>
    <n v="417.6"/>
    <x v="43"/>
    <d v="2025-02-13T00:00:00"/>
    <x v="2"/>
    <x v="0"/>
    <x v="0"/>
    <x v="0"/>
    <x v="9"/>
    <x v="7"/>
    <x v="6"/>
    <x v="2"/>
  </r>
  <r>
    <x v="1104"/>
    <x v="3"/>
    <x v="0"/>
    <n v="41.6"/>
    <n v="41.6"/>
    <x v="43"/>
    <d v="2025-02-16T00:00:00"/>
    <x v="1"/>
    <x v="3"/>
    <x v="0"/>
    <x v="0"/>
    <x v="11"/>
    <x v="2"/>
    <x v="6"/>
    <x v="1"/>
  </r>
  <r>
    <x v="1105"/>
    <x v="19"/>
    <x v="1"/>
    <n v="16.399999999999999"/>
    <n v="32.799999999999997"/>
    <x v="43"/>
    <d v="2025-02-14T00:00:00"/>
    <x v="3"/>
    <x v="0"/>
    <x v="2"/>
    <x v="0"/>
    <x v="11"/>
    <x v="3"/>
    <x v="6"/>
    <x v="3"/>
  </r>
  <r>
    <x v="1106"/>
    <x v="8"/>
    <x v="1"/>
    <n v="22"/>
    <n v="44"/>
    <x v="43"/>
    <d v="2025-02-14T00:00:00"/>
    <x v="1"/>
    <x v="2"/>
    <x v="2"/>
    <x v="0"/>
    <x v="53"/>
    <x v="3"/>
    <x v="6"/>
    <x v="1"/>
  </r>
  <r>
    <x v="1107"/>
    <x v="15"/>
    <x v="1"/>
    <n v="33.6"/>
    <n v="67.2"/>
    <x v="43"/>
    <d v="2025-02-18T00:00:00"/>
    <x v="2"/>
    <x v="0"/>
    <x v="0"/>
    <x v="0"/>
    <x v="21"/>
    <x v="0"/>
    <x v="6"/>
    <x v="2"/>
  </r>
  <r>
    <x v="1108"/>
    <x v="11"/>
    <x v="13"/>
    <n v="43"/>
    <n v="258"/>
    <x v="43"/>
    <d v="2025-02-14T00:00:00"/>
    <x v="2"/>
    <x v="2"/>
    <x v="0"/>
    <x v="0"/>
    <x v="21"/>
    <x v="3"/>
    <x v="6"/>
    <x v="2"/>
  </r>
  <r>
    <x v="1109"/>
    <x v="6"/>
    <x v="9"/>
    <n v="108.8"/>
    <n v="544"/>
    <x v="43"/>
    <d v="2025-02-16T00:00:00"/>
    <x v="2"/>
    <x v="4"/>
    <x v="2"/>
    <x v="0"/>
    <x v="21"/>
    <x v="2"/>
    <x v="6"/>
    <x v="2"/>
  </r>
  <r>
    <x v="1110"/>
    <x v="0"/>
    <x v="11"/>
    <n v="29.3"/>
    <n v="263.7"/>
    <x v="43"/>
    <d v="2025-02-15T00:00:00"/>
    <x v="1"/>
    <x v="4"/>
    <x v="2"/>
    <x v="0"/>
    <x v="21"/>
    <x v="1"/>
    <x v="6"/>
    <x v="1"/>
  </r>
  <r>
    <x v="1111"/>
    <x v="2"/>
    <x v="0"/>
    <n v="122.7"/>
    <n v="122.7"/>
    <x v="43"/>
    <d v="2025-02-16T00:00:00"/>
    <x v="3"/>
    <x v="0"/>
    <x v="2"/>
    <x v="0"/>
    <x v="1"/>
    <x v="2"/>
    <x v="6"/>
    <x v="3"/>
  </r>
  <r>
    <x v="1112"/>
    <x v="4"/>
    <x v="3"/>
    <n v="22.9"/>
    <n v="160.29999999999998"/>
    <x v="43"/>
    <d v="2025-02-14T00:00:00"/>
    <x v="2"/>
    <x v="0"/>
    <x v="0"/>
    <x v="0"/>
    <x v="42"/>
    <x v="3"/>
    <x v="6"/>
    <x v="2"/>
  </r>
  <r>
    <x v="1113"/>
    <x v="8"/>
    <x v="7"/>
    <n v="25.5"/>
    <n v="255"/>
    <x v="43"/>
    <d v="2025-02-20T00:00:00"/>
    <x v="2"/>
    <x v="0"/>
    <x v="0"/>
    <x v="0"/>
    <x v="33"/>
    <x v="6"/>
    <x v="6"/>
    <x v="2"/>
  </r>
  <r>
    <x v="1114"/>
    <x v="17"/>
    <x v="2"/>
    <n v="23.4"/>
    <n v="70.199999999999989"/>
    <x v="43"/>
    <d v="2025-02-17T00:00:00"/>
    <x v="2"/>
    <x v="0"/>
    <x v="2"/>
    <x v="0"/>
    <x v="3"/>
    <x v="5"/>
    <x v="6"/>
    <x v="2"/>
  </r>
  <r>
    <x v="1115"/>
    <x v="5"/>
    <x v="8"/>
    <n v="27.4"/>
    <n v="219.2"/>
    <x v="43"/>
    <d v="2025-02-16T00:00:00"/>
    <x v="2"/>
    <x v="2"/>
    <x v="0"/>
    <x v="0"/>
    <x v="3"/>
    <x v="2"/>
    <x v="6"/>
    <x v="2"/>
  </r>
  <r>
    <x v="1116"/>
    <x v="5"/>
    <x v="9"/>
    <n v="68.400000000000006"/>
    <n v="342"/>
    <x v="43"/>
    <d v="2025-02-14T00:00:00"/>
    <x v="2"/>
    <x v="0"/>
    <x v="0"/>
    <x v="0"/>
    <x v="3"/>
    <x v="3"/>
    <x v="6"/>
    <x v="2"/>
  </r>
  <r>
    <x v="1117"/>
    <x v="6"/>
    <x v="0"/>
    <n v="51.9"/>
    <n v="51.9"/>
    <x v="43"/>
    <d v="2025-02-13T00:00:00"/>
    <x v="2"/>
    <x v="0"/>
    <x v="0"/>
    <x v="0"/>
    <x v="3"/>
    <x v="7"/>
    <x v="6"/>
    <x v="2"/>
  </r>
  <r>
    <x v="1118"/>
    <x v="0"/>
    <x v="9"/>
    <n v="26.4"/>
    <n v="132"/>
    <x v="43"/>
    <d v="2025-02-16T00:00:00"/>
    <x v="2"/>
    <x v="0"/>
    <x v="2"/>
    <x v="0"/>
    <x v="3"/>
    <x v="2"/>
    <x v="6"/>
    <x v="2"/>
  </r>
  <r>
    <x v="1119"/>
    <x v="12"/>
    <x v="1"/>
    <n v="117"/>
    <n v="234"/>
    <x v="43"/>
    <d v="2025-02-14T00:00:00"/>
    <x v="2"/>
    <x v="1"/>
    <x v="1"/>
    <x v="0"/>
    <x v="3"/>
    <x v="3"/>
    <x v="6"/>
    <x v="2"/>
  </r>
  <r>
    <x v="1120"/>
    <x v="7"/>
    <x v="2"/>
    <n v="49.6"/>
    <n v="148.80000000000001"/>
    <x v="44"/>
    <d v="2025-02-16T00:00:00"/>
    <x v="2"/>
    <x v="0"/>
    <x v="0"/>
    <x v="0"/>
    <x v="3"/>
    <x v="1"/>
    <x v="6"/>
    <x v="2"/>
  </r>
  <r>
    <x v="1121"/>
    <x v="4"/>
    <x v="2"/>
    <n v="38"/>
    <n v="114"/>
    <x v="44"/>
    <d v="2025-02-17T00:00:00"/>
    <x v="1"/>
    <x v="2"/>
    <x v="4"/>
    <x v="0"/>
    <x v="3"/>
    <x v="2"/>
    <x v="6"/>
    <x v="1"/>
  </r>
  <r>
    <x v="1122"/>
    <x v="0"/>
    <x v="2"/>
    <n v="20.6"/>
    <n v="61.800000000000004"/>
    <x v="44"/>
    <d v="2025-02-16T00:00:00"/>
    <x v="2"/>
    <x v="4"/>
    <x v="2"/>
    <x v="0"/>
    <x v="3"/>
    <x v="1"/>
    <x v="6"/>
    <x v="2"/>
  </r>
  <r>
    <x v="1123"/>
    <x v="0"/>
    <x v="1"/>
    <n v="16"/>
    <n v="32"/>
    <x v="44"/>
    <d v="2025-02-15T00:00:00"/>
    <x v="1"/>
    <x v="1"/>
    <x v="1"/>
    <x v="0"/>
    <x v="49"/>
    <x v="3"/>
    <x v="6"/>
    <x v="1"/>
  </r>
  <r>
    <x v="1124"/>
    <x v="15"/>
    <x v="12"/>
    <n v="49.3"/>
    <n v="197.2"/>
    <x v="44"/>
    <d v="2025-02-15T00:00:00"/>
    <x v="2"/>
    <x v="2"/>
    <x v="0"/>
    <x v="0"/>
    <x v="23"/>
    <x v="3"/>
    <x v="6"/>
    <x v="2"/>
  </r>
  <r>
    <x v="1125"/>
    <x v="9"/>
    <x v="1"/>
    <n v="24.1"/>
    <n v="48.2"/>
    <x v="44"/>
    <d v="2025-02-18T00:00:00"/>
    <x v="2"/>
    <x v="0"/>
    <x v="0"/>
    <x v="0"/>
    <x v="6"/>
    <x v="5"/>
    <x v="6"/>
    <x v="2"/>
  </r>
  <r>
    <x v="1126"/>
    <x v="15"/>
    <x v="8"/>
    <n v="32.700000000000003"/>
    <n v="261.60000000000002"/>
    <x v="44"/>
    <d v="2025-02-15T00:00:00"/>
    <x v="2"/>
    <x v="1"/>
    <x v="0"/>
    <x v="0"/>
    <x v="6"/>
    <x v="3"/>
    <x v="6"/>
    <x v="2"/>
  </r>
  <r>
    <x v="1127"/>
    <x v="6"/>
    <x v="2"/>
    <n v="74.400000000000006"/>
    <n v="223.20000000000002"/>
    <x v="44"/>
    <d v="2025-02-15T00:00:00"/>
    <x v="2"/>
    <x v="3"/>
    <x v="2"/>
    <x v="0"/>
    <x v="8"/>
    <x v="3"/>
    <x v="6"/>
    <x v="2"/>
  </r>
  <r>
    <x v="1128"/>
    <x v="12"/>
    <x v="0"/>
    <n v="45.6"/>
    <n v="45.6"/>
    <x v="44"/>
    <d v="2025-02-18T00:00:00"/>
    <x v="2"/>
    <x v="4"/>
    <x v="0"/>
    <x v="0"/>
    <x v="8"/>
    <x v="5"/>
    <x v="6"/>
    <x v="2"/>
  </r>
  <r>
    <x v="1129"/>
    <x v="8"/>
    <x v="8"/>
    <n v="19.600000000000001"/>
    <n v="156.80000000000001"/>
    <x v="44"/>
    <d v="2025-02-27T00:00:00"/>
    <x v="2"/>
    <x v="0"/>
    <x v="0"/>
    <x v="0"/>
    <x v="8"/>
    <x v="10"/>
    <x v="6"/>
    <x v="2"/>
  </r>
  <r>
    <x v="1130"/>
    <x v="9"/>
    <x v="0"/>
    <n v="51.8"/>
    <n v="51.8"/>
    <x v="44"/>
    <d v="2025-02-15T00:00:00"/>
    <x v="2"/>
    <x v="1"/>
    <x v="0"/>
    <x v="0"/>
    <x v="8"/>
    <x v="3"/>
    <x v="6"/>
    <x v="2"/>
  </r>
  <r>
    <x v="1131"/>
    <x v="6"/>
    <x v="0"/>
    <n v="74.7"/>
    <n v="74.7"/>
    <x v="44"/>
    <d v="2025-02-15T00:00:00"/>
    <x v="1"/>
    <x v="0"/>
    <x v="1"/>
    <x v="0"/>
    <x v="8"/>
    <x v="3"/>
    <x v="6"/>
    <x v="1"/>
  </r>
  <r>
    <x v="1132"/>
    <x v="19"/>
    <x v="2"/>
    <n v="22.4"/>
    <n v="67.199999999999989"/>
    <x v="44"/>
    <d v="2025-02-15T00:00:00"/>
    <x v="2"/>
    <x v="1"/>
    <x v="2"/>
    <x v="0"/>
    <x v="9"/>
    <x v="3"/>
    <x v="6"/>
    <x v="2"/>
  </r>
  <r>
    <x v="1133"/>
    <x v="1"/>
    <x v="12"/>
    <n v="31.4"/>
    <n v="125.6"/>
    <x v="44"/>
    <d v="2025-02-15T00:00:00"/>
    <x v="2"/>
    <x v="1"/>
    <x v="0"/>
    <x v="0"/>
    <x v="9"/>
    <x v="3"/>
    <x v="6"/>
    <x v="2"/>
  </r>
  <r>
    <x v="1134"/>
    <x v="6"/>
    <x v="0"/>
    <n v="94"/>
    <n v="94"/>
    <x v="44"/>
    <d v="2025-02-14T00:00:00"/>
    <x v="2"/>
    <x v="1"/>
    <x v="2"/>
    <x v="0"/>
    <x v="10"/>
    <x v="7"/>
    <x v="6"/>
    <x v="2"/>
  </r>
  <r>
    <x v="1135"/>
    <x v="10"/>
    <x v="0"/>
    <n v="22.3"/>
    <n v="22.3"/>
    <x v="44"/>
    <d v="2025-02-15T00:00:00"/>
    <x v="1"/>
    <x v="4"/>
    <x v="0"/>
    <x v="0"/>
    <x v="20"/>
    <x v="3"/>
    <x v="6"/>
    <x v="1"/>
  </r>
  <r>
    <x v="1136"/>
    <x v="0"/>
    <x v="0"/>
    <n v="21.9"/>
    <n v="21.9"/>
    <x v="44"/>
    <d v="2025-02-17T00:00:00"/>
    <x v="2"/>
    <x v="2"/>
    <x v="0"/>
    <x v="0"/>
    <x v="21"/>
    <x v="2"/>
    <x v="6"/>
    <x v="2"/>
  </r>
  <r>
    <x v="1137"/>
    <x v="17"/>
    <x v="2"/>
    <n v="27"/>
    <n v="81"/>
    <x v="44"/>
    <d v="2025-02-16T00:00:00"/>
    <x v="2"/>
    <x v="4"/>
    <x v="2"/>
    <x v="0"/>
    <x v="2"/>
    <x v="1"/>
    <x v="6"/>
    <x v="2"/>
  </r>
  <r>
    <x v="1138"/>
    <x v="2"/>
    <x v="12"/>
    <n v="149.6"/>
    <n v="598.4"/>
    <x v="44"/>
    <d v="2025-02-14T00:00:00"/>
    <x v="2"/>
    <x v="4"/>
    <x v="0"/>
    <x v="0"/>
    <x v="22"/>
    <x v="7"/>
    <x v="6"/>
    <x v="2"/>
  </r>
  <r>
    <x v="1139"/>
    <x v="2"/>
    <x v="12"/>
    <n v="129.1"/>
    <n v="516.4"/>
    <x v="44"/>
    <d v="2025-02-24T00:00:00"/>
    <x v="1"/>
    <x v="0"/>
    <x v="1"/>
    <x v="0"/>
    <x v="3"/>
    <x v="14"/>
    <x v="6"/>
    <x v="1"/>
  </r>
  <r>
    <x v="1140"/>
    <x v="1"/>
    <x v="4"/>
    <n v="40.4"/>
    <n v="484.79999999999995"/>
    <x v="44"/>
    <d v="2025-02-15T00:00:00"/>
    <x v="1"/>
    <x v="1"/>
    <x v="1"/>
    <x v="0"/>
    <x v="3"/>
    <x v="3"/>
    <x v="6"/>
    <x v="1"/>
  </r>
  <r>
    <x v="1141"/>
    <x v="4"/>
    <x v="2"/>
    <n v="48.5"/>
    <n v="145.5"/>
    <x v="44"/>
    <d v="2025-02-16T00:00:00"/>
    <x v="2"/>
    <x v="0"/>
    <x v="4"/>
    <x v="0"/>
    <x v="3"/>
    <x v="1"/>
    <x v="6"/>
    <x v="2"/>
  </r>
  <r>
    <x v="1142"/>
    <x v="9"/>
    <x v="1"/>
    <n v="37.6"/>
    <n v="75.2"/>
    <x v="44"/>
    <d v="2025-02-16T00:00:00"/>
    <x v="2"/>
    <x v="1"/>
    <x v="2"/>
    <x v="0"/>
    <x v="3"/>
    <x v="1"/>
    <x v="6"/>
    <x v="2"/>
  </r>
  <r>
    <x v="1143"/>
    <x v="8"/>
    <x v="1"/>
    <n v="19.600000000000001"/>
    <n v="39.200000000000003"/>
    <x v="44"/>
    <d v="2025-02-15T00:00:00"/>
    <x v="1"/>
    <x v="3"/>
    <x v="4"/>
    <x v="0"/>
    <x v="43"/>
    <x v="3"/>
    <x v="6"/>
    <x v="1"/>
  </r>
  <r>
    <x v="1144"/>
    <x v="8"/>
    <x v="9"/>
    <n v="18.5"/>
    <n v="92.5"/>
    <x v="44"/>
    <d v="2025-02-15T00:00:00"/>
    <x v="2"/>
    <x v="2"/>
    <x v="1"/>
    <x v="0"/>
    <x v="6"/>
    <x v="3"/>
    <x v="6"/>
    <x v="2"/>
  </r>
  <r>
    <x v="1145"/>
    <x v="5"/>
    <x v="2"/>
    <n v="25.5"/>
    <n v="76.5"/>
    <x v="44"/>
    <d v="2025-02-16T00:00:00"/>
    <x v="2"/>
    <x v="4"/>
    <x v="1"/>
    <x v="0"/>
    <x v="6"/>
    <x v="1"/>
    <x v="6"/>
    <x v="2"/>
  </r>
  <r>
    <x v="1146"/>
    <x v="2"/>
    <x v="1"/>
    <n v="94.7"/>
    <n v="189.4"/>
    <x v="44"/>
    <d v="2025-02-15T00:00:00"/>
    <x v="2"/>
    <x v="2"/>
    <x v="0"/>
    <x v="0"/>
    <x v="36"/>
    <x v="3"/>
    <x v="6"/>
    <x v="2"/>
  </r>
  <r>
    <x v="1147"/>
    <x v="1"/>
    <x v="13"/>
    <n v="38.799999999999997"/>
    <n v="232.79999999999998"/>
    <x v="44"/>
    <d v="2025-02-19T00:00:00"/>
    <x v="2"/>
    <x v="2"/>
    <x v="2"/>
    <x v="0"/>
    <x v="8"/>
    <x v="0"/>
    <x v="6"/>
    <x v="2"/>
  </r>
  <r>
    <x v="1148"/>
    <x v="9"/>
    <x v="1"/>
    <n v="49.4"/>
    <n v="98.8"/>
    <x v="45"/>
    <d v="2025-02-23T00:00:00"/>
    <x v="1"/>
    <x v="4"/>
    <x v="1"/>
    <x v="0"/>
    <x v="8"/>
    <x v="9"/>
    <x v="6"/>
    <x v="1"/>
  </r>
  <r>
    <x v="1149"/>
    <x v="7"/>
    <x v="2"/>
    <n v="68"/>
    <n v="204"/>
    <x v="45"/>
    <d v="2025-02-18T00:00:00"/>
    <x v="1"/>
    <x v="0"/>
    <x v="2"/>
    <x v="0"/>
    <x v="8"/>
    <x v="2"/>
    <x v="6"/>
    <x v="1"/>
  </r>
  <r>
    <x v="1150"/>
    <x v="15"/>
    <x v="3"/>
    <n v="63.7"/>
    <n v="445.90000000000003"/>
    <x v="45"/>
    <d v="2025-02-16T00:00:00"/>
    <x v="2"/>
    <x v="2"/>
    <x v="2"/>
    <x v="0"/>
    <x v="8"/>
    <x v="3"/>
    <x v="6"/>
    <x v="2"/>
  </r>
  <r>
    <x v="1151"/>
    <x v="10"/>
    <x v="1"/>
    <n v="66.2"/>
    <n v="132.4"/>
    <x v="45"/>
    <d v="2025-02-16T00:00:00"/>
    <x v="2"/>
    <x v="4"/>
    <x v="2"/>
    <x v="0"/>
    <x v="17"/>
    <x v="3"/>
    <x v="6"/>
    <x v="2"/>
  </r>
  <r>
    <x v="1152"/>
    <x v="12"/>
    <x v="2"/>
    <n v="32.299999999999997"/>
    <n v="96.899999999999991"/>
    <x v="45"/>
    <d v="2025-02-16T00:00:00"/>
    <x v="3"/>
    <x v="2"/>
    <x v="1"/>
    <x v="0"/>
    <x v="9"/>
    <x v="3"/>
    <x v="6"/>
    <x v="3"/>
  </r>
  <r>
    <x v="1153"/>
    <x v="4"/>
    <x v="1"/>
    <n v="66.900000000000006"/>
    <n v="133.80000000000001"/>
    <x v="45"/>
    <d v="2025-02-18T00:00:00"/>
    <x v="1"/>
    <x v="1"/>
    <x v="0"/>
    <x v="0"/>
    <x v="11"/>
    <x v="2"/>
    <x v="6"/>
    <x v="1"/>
  </r>
  <r>
    <x v="1154"/>
    <x v="4"/>
    <x v="4"/>
    <n v="25.2"/>
    <n v="302.39999999999998"/>
    <x v="45"/>
    <d v="2025-02-19T00:00:00"/>
    <x v="2"/>
    <x v="0"/>
    <x v="1"/>
    <x v="0"/>
    <x v="11"/>
    <x v="5"/>
    <x v="6"/>
    <x v="2"/>
  </r>
  <r>
    <x v="1155"/>
    <x v="10"/>
    <x v="13"/>
    <n v="29.5"/>
    <n v="177"/>
    <x v="45"/>
    <d v="2025-02-16T00:00:00"/>
    <x v="1"/>
    <x v="2"/>
    <x v="0"/>
    <x v="0"/>
    <x v="11"/>
    <x v="3"/>
    <x v="6"/>
    <x v="1"/>
  </r>
  <r>
    <x v="1156"/>
    <x v="8"/>
    <x v="9"/>
    <n v="21.6"/>
    <n v="108"/>
    <x v="45"/>
    <d v="2025-02-17T00:00:00"/>
    <x v="2"/>
    <x v="0"/>
    <x v="2"/>
    <x v="0"/>
    <x v="32"/>
    <x v="1"/>
    <x v="6"/>
    <x v="2"/>
  </r>
  <r>
    <x v="1157"/>
    <x v="12"/>
    <x v="2"/>
    <n v="69"/>
    <n v="207"/>
    <x v="45"/>
    <d v="2025-02-16T00:00:00"/>
    <x v="2"/>
    <x v="0"/>
    <x v="0"/>
    <x v="0"/>
    <x v="18"/>
    <x v="3"/>
    <x v="6"/>
    <x v="2"/>
  </r>
  <r>
    <x v="1158"/>
    <x v="7"/>
    <x v="1"/>
    <n v="115"/>
    <n v="230"/>
    <x v="45"/>
    <d v="2025-02-19T00:00:00"/>
    <x v="1"/>
    <x v="0"/>
    <x v="2"/>
    <x v="0"/>
    <x v="18"/>
    <x v="5"/>
    <x v="6"/>
    <x v="1"/>
  </r>
  <r>
    <x v="1159"/>
    <x v="2"/>
    <x v="1"/>
    <n v="109.3"/>
    <n v="218.6"/>
    <x v="45"/>
    <d v="2025-02-17T00:00:00"/>
    <x v="0"/>
    <x v="3"/>
    <x v="1"/>
    <x v="0"/>
    <x v="19"/>
    <x v="1"/>
    <x v="6"/>
    <x v="0"/>
  </r>
  <r>
    <x v="1160"/>
    <x v="9"/>
    <x v="1"/>
    <n v="66.599999999999994"/>
    <n v="133.19999999999999"/>
    <x v="45"/>
    <d v="2025-02-18T00:00:00"/>
    <x v="0"/>
    <x v="4"/>
    <x v="1"/>
    <x v="0"/>
    <x v="19"/>
    <x v="2"/>
    <x v="6"/>
    <x v="0"/>
  </r>
  <r>
    <x v="1161"/>
    <x v="12"/>
    <x v="9"/>
    <n v="47.7"/>
    <n v="238.5"/>
    <x v="45"/>
    <d v="2025-02-16T00:00:00"/>
    <x v="1"/>
    <x v="3"/>
    <x v="2"/>
    <x v="0"/>
    <x v="21"/>
    <x v="3"/>
    <x v="6"/>
    <x v="1"/>
  </r>
  <r>
    <x v="1162"/>
    <x v="8"/>
    <x v="1"/>
    <n v="46"/>
    <n v="92"/>
    <x v="45"/>
    <d v="2025-02-16T00:00:00"/>
    <x v="2"/>
    <x v="4"/>
    <x v="4"/>
    <x v="0"/>
    <x v="22"/>
    <x v="3"/>
    <x v="6"/>
    <x v="2"/>
  </r>
  <r>
    <x v="1163"/>
    <x v="1"/>
    <x v="13"/>
    <n v="39.299999999999997"/>
    <n v="235.79999999999998"/>
    <x v="45"/>
    <d v="2025-02-17T00:00:00"/>
    <x v="1"/>
    <x v="3"/>
    <x v="2"/>
    <x v="0"/>
    <x v="3"/>
    <x v="1"/>
    <x v="6"/>
    <x v="1"/>
  </r>
  <r>
    <x v="1164"/>
    <x v="9"/>
    <x v="0"/>
    <n v="70.2"/>
    <n v="70.2"/>
    <x v="45"/>
    <d v="2025-02-16T00:00:00"/>
    <x v="2"/>
    <x v="0"/>
    <x v="4"/>
    <x v="0"/>
    <x v="3"/>
    <x v="3"/>
    <x v="6"/>
    <x v="2"/>
  </r>
  <r>
    <x v="1165"/>
    <x v="3"/>
    <x v="12"/>
    <n v="71.5"/>
    <n v="286"/>
    <x v="45"/>
    <d v="2025-02-15T00:00:00"/>
    <x v="2"/>
    <x v="1"/>
    <x v="2"/>
    <x v="0"/>
    <x v="3"/>
    <x v="7"/>
    <x v="6"/>
    <x v="2"/>
  </r>
  <r>
    <x v="1166"/>
    <x v="10"/>
    <x v="3"/>
    <n v="31"/>
    <n v="217"/>
    <x v="45"/>
    <d v="2025-02-22T00:00:00"/>
    <x v="2"/>
    <x v="3"/>
    <x v="2"/>
    <x v="0"/>
    <x v="3"/>
    <x v="6"/>
    <x v="6"/>
    <x v="2"/>
  </r>
  <r>
    <x v="1167"/>
    <x v="2"/>
    <x v="9"/>
    <n v="68.2"/>
    <n v="341"/>
    <x v="45"/>
    <d v="2025-02-20T00:00:00"/>
    <x v="2"/>
    <x v="0"/>
    <x v="2"/>
    <x v="0"/>
    <x v="3"/>
    <x v="0"/>
    <x v="6"/>
    <x v="2"/>
  </r>
  <r>
    <x v="1168"/>
    <x v="2"/>
    <x v="0"/>
    <n v="91.4"/>
    <n v="91.4"/>
    <x v="45"/>
    <d v="2025-02-19T00:00:00"/>
    <x v="2"/>
    <x v="1"/>
    <x v="2"/>
    <x v="0"/>
    <x v="6"/>
    <x v="5"/>
    <x v="6"/>
    <x v="2"/>
  </r>
  <r>
    <x v="1169"/>
    <x v="6"/>
    <x v="7"/>
    <n v="112.9"/>
    <n v="1129"/>
    <x v="45"/>
    <d v="2025-02-16T00:00:00"/>
    <x v="2"/>
    <x v="0"/>
    <x v="0"/>
    <x v="0"/>
    <x v="6"/>
    <x v="3"/>
    <x v="6"/>
    <x v="2"/>
  </r>
  <r>
    <x v="1170"/>
    <x v="17"/>
    <x v="11"/>
    <n v="33.700000000000003"/>
    <n v="303.3"/>
    <x v="45"/>
    <d v="2025-02-16T00:00:00"/>
    <x v="2"/>
    <x v="1"/>
    <x v="2"/>
    <x v="0"/>
    <x v="8"/>
    <x v="3"/>
    <x v="6"/>
    <x v="2"/>
  </r>
  <r>
    <x v="1171"/>
    <x v="15"/>
    <x v="7"/>
    <n v="35.299999999999997"/>
    <n v="353"/>
    <x v="45"/>
    <d v="2025-02-17T00:00:00"/>
    <x v="1"/>
    <x v="2"/>
    <x v="0"/>
    <x v="0"/>
    <x v="8"/>
    <x v="1"/>
    <x v="6"/>
    <x v="1"/>
  </r>
  <r>
    <x v="1172"/>
    <x v="18"/>
    <x v="2"/>
    <n v="45.6"/>
    <n v="136.80000000000001"/>
    <x v="45"/>
    <d v="2025-02-19T00:00:00"/>
    <x v="1"/>
    <x v="3"/>
    <x v="0"/>
    <x v="0"/>
    <x v="8"/>
    <x v="5"/>
    <x v="6"/>
    <x v="1"/>
  </r>
  <r>
    <x v="1173"/>
    <x v="7"/>
    <x v="3"/>
    <n v="47.1"/>
    <n v="329.7"/>
    <x v="45"/>
    <d v="2025-02-16T00:00:00"/>
    <x v="2"/>
    <x v="4"/>
    <x v="2"/>
    <x v="0"/>
    <x v="9"/>
    <x v="3"/>
    <x v="6"/>
    <x v="2"/>
  </r>
  <r>
    <x v="1174"/>
    <x v="8"/>
    <x v="9"/>
    <n v="16.2"/>
    <n v="81"/>
    <x v="45"/>
    <d v="2025-02-17T00:00:00"/>
    <x v="2"/>
    <x v="3"/>
    <x v="2"/>
    <x v="0"/>
    <x v="19"/>
    <x v="1"/>
    <x v="6"/>
    <x v="2"/>
  </r>
  <r>
    <x v="1175"/>
    <x v="1"/>
    <x v="1"/>
    <n v="159.69999999999999"/>
    <n v="319.39999999999998"/>
    <x v="46"/>
    <d v="2025-02-17T00:00:00"/>
    <x v="1"/>
    <x v="4"/>
    <x v="0"/>
    <x v="0"/>
    <x v="13"/>
    <x v="3"/>
    <x v="7"/>
    <x v="1"/>
  </r>
  <r>
    <x v="1176"/>
    <x v="8"/>
    <x v="12"/>
    <n v="19"/>
    <n v="76"/>
    <x v="46"/>
    <d v="2025-02-23T00:00:00"/>
    <x v="2"/>
    <x v="2"/>
    <x v="2"/>
    <x v="0"/>
    <x v="21"/>
    <x v="6"/>
    <x v="7"/>
    <x v="2"/>
  </r>
  <r>
    <x v="1177"/>
    <x v="6"/>
    <x v="13"/>
    <n v="91.1"/>
    <n v="546.59999999999991"/>
    <x v="46"/>
    <d v="2025-02-25T00:00:00"/>
    <x v="2"/>
    <x v="4"/>
    <x v="0"/>
    <x v="0"/>
    <x v="21"/>
    <x v="8"/>
    <x v="7"/>
    <x v="2"/>
  </r>
  <r>
    <x v="1178"/>
    <x v="2"/>
    <x v="9"/>
    <n v="94.1"/>
    <n v="470.5"/>
    <x v="46"/>
    <d v="2025-02-19T00:00:00"/>
    <x v="0"/>
    <x v="1"/>
    <x v="1"/>
    <x v="0"/>
    <x v="21"/>
    <x v="2"/>
    <x v="7"/>
    <x v="0"/>
  </r>
  <r>
    <x v="1179"/>
    <x v="9"/>
    <x v="11"/>
    <n v="21.1"/>
    <n v="189.9"/>
    <x v="46"/>
    <d v="2025-02-17T00:00:00"/>
    <x v="2"/>
    <x v="4"/>
    <x v="2"/>
    <x v="0"/>
    <x v="51"/>
    <x v="3"/>
    <x v="7"/>
    <x v="2"/>
  </r>
  <r>
    <x v="1180"/>
    <x v="8"/>
    <x v="3"/>
    <n v="15.3"/>
    <n v="107.10000000000001"/>
    <x v="46"/>
    <d v="2025-02-24T00:00:00"/>
    <x v="2"/>
    <x v="2"/>
    <x v="0"/>
    <x v="0"/>
    <x v="1"/>
    <x v="9"/>
    <x v="7"/>
    <x v="2"/>
  </r>
  <r>
    <x v="1181"/>
    <x v="15"/>
    <x v="12"/>
    <n v="21.3"/>
    <n v="85.2"/>
    <x v="46"/>
    <d v="2025-02-19T00:00:00"/>
    <x v="1"/>
    <x v="1"/>
    <x v="0"/>
    <x v="0"/>
    <x v="3"/>
    <x v="2"/>
    <x v="7"/>
    <x v="1"/>
  </r>
  <r>
    <x v="1182"/>
    <x v="0"/>
    <x v="1"/>
    <n v="23.2"/>
    <n v="46.4"/>
    <x v="46"/>
    <d v="2025-02-16T00:00:00"/>
    <x v="0"/>
    <x v="3"/>
    <x v="1"/>
    <x v="0"/>
    <x v="3"/>
    <x v="7"/>
    <x v="7"/>
    <x v="0"/>
  </r>
  <r>
    <x v="1183"/>
    <x v="4"/>
    <x v="2"/>
    <n v="25.7"/>
    <n v="77.099999999999994"/>
    <x v="46"/>
    <d v="2025-02-17T00:00:00"/>
    <x v="1"/>
    <x v="4"/>
    <x v="0"/>
    <x v="0"/>
    <x v="3"/>
    <x v="3"/>
    <x v="7"/>
    <x v="1"/>
  </r>
  <r>
    <x v="1184"/>
    <x v="0"/>
    <x v="11"/>
    <n v="31.6"/>
    <n v="284.40000000000003"/>
    <x v="46"/>
    <d v="2025-02-18T00:00:00"/>
    <x v="2"/>
    <x v="0"/>
    <x v="0"/>
    <x v="0"/>
    <x v="3"/>
    <x v="1"/>
    <x v="7"/>
    <x v="2"/>
  </r>
  <r>
    <x v="1185"/>
    <x v="6"/>
    <x v="0"/>
    <n v="64.2"/>
    <n v="64.2"/>
    <x v="46"/>
    <d v="2025-02-21T00:00:00"/>
    <x v="1"/>
    <x v="0"/>
    <x v="0"/>
    <x v="0"/>
    <x v="3"/>
    <x v="0"/>
    <x v="7"/>
    <x v="1"/>
  </r>
  <r>
    <x v="1186"/>
    <x v="8"/>
    <x v="1"/>
    <n v="55.8"/>
    <n v="111.6"/>
    <x v="46"/>
    <d v="2025-02-18T00:00:00"/>
    <x v="0"/>
    <x v="0"/>
    <x v="0"/>
    <x v="0"/>
    <x v="3"/>
    <x v="1"/>
    <x v="7"/>
    <x v="0"/>
  </r>
  <r>
    <x v="1187"/>
    <x v="8"/>
    <x v="1"/>
    <n v="28.1"/>
    <n v="56.2"/>
    <x v="46"/>
    <d v="2025-02-17T00:00:00"/>
    <x v="2"/>
    <x v="4"/>
    <x v="1"/>
    <x v="0"/>
    <x v="3"/>
    <x v="3"/>
    <x v="7"/>
    <x v="2"/>
  </r>
  <r>
    <x v="1188"/>
    <x v="0"/>
    <x v="1"/>
    <n v="11.6"/>
    <n v="23.2"/>
    <x v="46"/>
    <d v="2025-02-18T00:00:00"/>
    <x v="2"/>
    <x v="1"/>
    <x v="0"/>
    <x v="0"/>
    <x v="24"/>
    <x v="1"/>
    <x v="7"/>
    <x v="2"/>
  </r>
  <r>
    <x v="1189"/>
    <x v="5"/>
    <x v="2"/>
    <n v="50.4"/>
    <n v="151.19999999999999"/>
    <x v="46"/>
    <d v="2025-02-17T00:00:00"/>
    <x v="1"/>
    <x v="4"/>
    <x v="2"/>
    <x v="0"/>
    <x v="25"/>
    <x v="3"/>
    <x v="7"/>
    <x v="1"/>
  </r>
  <r>
    <x v="1190"/>
    <x v="6"/>
    <x v="13"/>
    <n v="48.3"/>
    <n v="289.79999999999995"/>
    <x v="46"/>
    <d v="2025-02-20T00:00:00"/>
    <x v="2"/>
    <x v="0"/>
    <x v="0"/>
    <x v="0"/>
    <x v="25"/>
    <x v="5"/>
    <x v="7"/>
    <x v="2"/>
  </r>
  <r>
    <x v="1191"/>
    <x v="17"/>
    <x v="3"/>
    <n v="32.200000000000003"/>
    <n v="225.40000000000003"/>
    <x v="46"/>
    <d v="2025-02-18T00:00:00"/>
    <x v="2"/>
    <x v="2"/>
    <x v="0"/>
    <x v="0"/>
    <x v="25"/>
    <x v="1"/>
    <x v="7"/>
    <x v="2"/>
  </r>
  <r>
    <x v="1192"/>
    <x v="7"/>
    <x v="31"/>
    <n v="48.5"/>
    <n v="1358"/>
    <x v="46"/>
    <d v="2025-02-17T00:00:00"/>
    <x v="1"/>
    <x v="0"/>
    <x v="0"/>
    <x v="0"/>
    <x v="5"/>
    <x v="3"/>
    <x v="7"/>
    <x v="1"/>
  </r>
  <r>
    <x v="1193"/>
    <x v="2"/>
    <x v="9"/>
    <n v="62"/>
    <n v="310"/>
    <x v="46"/>
    <d v="2025-02-19T00:00:00"/>
    <x v="2"/>
    <x v="1"/>
    <x v="0"/>
    <x v="0"/>
    <x v="6"/>
    <x v="2"/>
    <x v="7"/>
    <x v="2"/>
  </r>
  <r>
    <x v="1194"/>
    <x v="8"/>
    <x v="2"/>
    <n v="32.1"/>
    <n v="96.300000000000011"/>
    <x v="47"/>
    <d v="2025-02-19T00:00:00"/>
    <x v="1"/>
    <x v="0"/>
    <x v="0"/>
    <x v="0"/>
    <x v="6"/>
    <x v="1"/>
    <x v="7"/>
    <x v="1"/>
  </r>
  <r>
    <x v="1195"/>
    <x v="12"/>
    <x v="2"/>
    <n v="106.1"/>
    <n v="318.29999999999995"/>
    <x v="47"/>
    <d v="2025-02-19T00:00:00"/>
    <x v="1"/>
    <x v="0"/>
    <x v="1"/>
    <x v="0"/>
    <x v="7"/>
    <x v="1"/>
    <x v="7"/>
    <x v="1"/>
  </r>
  <r>
    <x v="1196"/>
    <x v="10"/>
    <x v="2"/>
    <n v="23.5"/>
    <n v="70.5"/>
    <x v="47"/>
    <d v="2025-02-20T00:00:00"/>
    <x v="1"/>
    <x v="0"/>
    <x v="4"/>
    <x v="0"/>
    <x v="7"/>
    <x v="2"/>
    <x v="7"/>
    <x v="1"/>
  </r>
  <r>
    <x v="1197"/>
    <x v="1"/>
    <x v="1"/>
    <n v="35.6"/>
    <n v="71.2"/>
    <x v="47"/>
    <d v="2025-02-22T00:00:00"/>
    <x v="1"/>
    <x v="4"/>
    <x v="0"/>
    <x v="0"/>
    <x v="8"/>
    <x v="0"/>
    <x v="7"/>
    <x v="1"/>
  </r>
  <r>
    <x v="1198"/>
    <x v="1"/>
    <x v="1"/>
    <n v="63.5"/>
    <n v="127"/>
    <x v="47"/>
    <d v="2025-02-17T00:00:00"/>
    <x v="2"/>
    <x v="1"/>
    <x v="2"/>
    <x v="0"/>
    <x v="8"/>
    <x v="7"/>
    <x v="7"/>
    <x v="2"/>
  </r>
  <r>
    <x v="1199"/>
    <x v="6"/>
    <x v="3"/>
    <n v="82.9"/>
    <n v="580.30000000000007"/>
    <x v="47"/>
    <d v="2025-02-22T00:00:00"/>
    <x v="2"/>
    <x v="4"/>
    <x v="0"/>
    <x v="0"/>
    <x v="9"/>
    <x v="0"/>
    <x v="7"/>
    <x v="2"/>
  </r>
  <r>
    <x v="1200"/>
    <x v="6"/>
    <x v="1"/>
    <n v="83.6"/>
    <n v="167.2"/>
    <x v="47"/>
    <d v="2025-02-22T00:00:00"/>
    <x v="2"/>
    <x v="0"/>
    <x v="0"/>
    <x v="0"/>
    <x v="11"/>
    <x v="0"/>
    <x v="7"/>
    <x v="2"/>
  </r>
  <r>
    <x v="1201"/>
    <x v="4"/>
    <x v="1"/>
    <n v="29.4"/>
    <n v="58.8"/>
    <x v="47"/>
    <d v="2025-02-17T00:00:00"/>
    <x v="2"/>
    <x v="0"/>
    <x v="1"/>
    <x v="0"/>
    <x v="30"/>
    <x v="7"/>
    <x v="7"/>
    <x v="2"/>
  </r>
  <r>
    <x v="1202"/>
    <x v="2"/>
    <x v="2"/>
    <n v="107.1"/>
    <n v="321.29999999999995"/>
    <x v="47"/>
    <d v="2025-02-21T00:00:00"/>
    <x v="2"/>
    <x v="2"/>
    <x v="0"/>
    <x v="0"/>
    <x v="20"/>
    <x v="5"/>
    <x v="7"/>
    <x v="2"/>
  </r>
  <r>
    <x v="1203"/>
    <x v="2"/>
    <x v="0"/>
    <n v="62.7"/>
    <n v="62.7"/>
    <x v="47"/>
    <d v="2025-02-21T00:00:00"/>
    <x v="1"/>
    <x v="1"/>
    <x v="0"/>
    <x v="0"/>
    <x v="21"/>
    <x v="5"/>
    <x v="7"/>
    <x v="1"/>
  </r>
  <r>
    <x v="1204"/>
    <x v="11"/>
    <x v="0"/>
    <n v="41.6"/>
    <n v="41.6"/>
    <x v="47"/>
    <d v="2025-02-18T00:00:00"/>
    <x v="1"/>
    <x v="0"/>
    <x v="1"/>
    <x v="0"/>
    <x v="1"/>
    <x v="3"/>
    <x v="7"/>
    <x v="1"/>
  </r>
  <r>
    <x v="1205"/>
    <x v="6"/>
    <x v="0"/>
    <n v="44.2"/>
    <n v="44.2"/>
    <x v="47"/>
    <d v="2025-02-18T00:00:00"/>
    <x v="3"/>
    <x v="0"/>
    <x v="1"/>
    <x v="0"/>
    <x v="1"/>
    <x v="3"/>
    <x v="7"/>
    <x v="3"/>
  </r>
  <r>
    <x v="1206"/>
    <x v="4"/>
    <x v="13"/>
    <n v="40.4"/>
    <n v="242.39999999999998"/>
    <x v="47"/>
    <d v="2025-03-02T00:00:00"/>
    <x v="2"/>
    <x v="2"/>
    <x v="0"/>
    <x v="0"/>
    <x v="22"/>
    <x v="10"/>
    <x v="7"/>
    <x v="2"/>
  </r>
  <r>
    <x v="1207"/>
    <x v="15"/>
    <x v="13"/>
    <n v="59.6"/>
    <n v="357.6"/>
    <x v="47"/>
    <d v="2025-02-18T00:00:00"/>
    <x v="2"/>
    <x v="4"/>
    <x v="0"/>
    <x v="0"/>
    <x v="34"/>
    <x v="3"/>
    <x v="7"/>
    <x v="2"/>
  </r>
  <r>
    <x v="1208"/>
    <x v="17"/>
    <x v="4"/>
    <n v="63.8"/>
    <n v="765.59999999999991"/>
    <x v="47"/>
    <d v="2025-02-18T00:00:00"/>
    <x v="1"/>
    <x v="1"/>
    <x v="0"/>
    <x v="0"/>
    <x v="3"/>
    <x v="3"/>
    <x v="7"/>
    <x v="1"/>
  </r>
  <r>
    <x v="1209"/>
    <x v="9"/>
    <x v="13"/>
    <n v="30.8"/>
    <n v="184.8"/>
    <x v="47"/>
    <d v="2025-02-19T00:00:00"/>
    <x v="1"/>
    <x v="4"/>
    <x v="0"/>
    <x v="0"/>
    <x v="3"/>
    <x v="1"/>
    <x v="7"/>
    <x v="1"/>
  </r>
  <r>
    <x v="1210"/>
    <x v="1"/>
    <x v="1"/>
    <n v="41.5"/>
    <n v="83"/>
    <x v="47"/>
    <d v="2025-02-20T00:00:00"/>
    <x v="3"/>
    <x v="0"/>
    <x v="0"/>
    <x v="0"/>
    <x v="3"/>
    <x v="2"/>
    <x v="7"/>
    <x v="3"/>
  </r>
  <r>
    <x v="1211"/>
    <x v="10"/>
    <x v="12"/>
    <n v="44.7"/>
    <n v="178.8"/>
    <x v="47"/>
    <d v="2025-02-19T00:00:00"/>
    <x v="2"/>
    <x v="2"/>
    <x v="1"/>
    <x v="0"/>
    <x v="3"/>
    <x v="1"/>
    <x v="7"/>
    <x v="2"/>
  </r>
  <r>
    <x v="1212"/>
    <x v="12"/>
    <x v="1"/>
    <n v="64.099999999999994"/>
    <n v="128.19999999999999"/>
    <x v="47"/>
    <d v="2025-02-21T00:00:00"/>
    <x v="2"/>
    <x v="1"/>
    <x v="4"/>
    <x v="0"/>
    <x v="3"/>
    <x v="5"/>
    <x v="7"/>
    <x v="2"/>
  </r>
  <r>
    <x v="1213"/>
    <x v="8"/>
    <x v="0"/>
    <n v="15.9"/>
    <n v="15.9"/>
    <x v="47"/>
    <d v="2025-02-20T00:00:00"/>
    <x v="0"/>
    <x v="1"/>
    <x v="0"/>
    <x v="0"/>
    <x v="3"/>
    <x v="2"/>
    <x v="7"/>
    <x v="0"/>
  </r>
  <r>
    <x v="1214"/>
    <x v="6"/>
    <x v="1"/>
    <n v="78.7"/>
    <n v="157.4"/>
    <x v="47"/>
    <d v="2025-02-17T00:00:00"/>
    <x v="2"/>
    <x v="2"/>
    <x v="1"/>
    <x v="0"/>
    <x v="3"/>
    <x v="7"/>
    <x v="7"/>
    <x v="2"/>
  </r>
  <r>
    <x v="1215"/>
    <x v="5"/>
    <x v="4"/>
    <n v="29.6"/>
    <n v="355.20000000000005"/>
    <x v="47"/>
    <d v="2025-02-21T00:00:00"/>
    <x v="1"/>
    <x v="2"/>
    <x v="4"/>
    <x v="0"/>
    <x v="3"/>
    <x v="5"/>
    <x v="7"/>
    <x v="1"/>
  </r>
  <r>
    <x v="1216"/>
    <x v="8"/>
    <x v="12"/>
    <n v="21.5"/>
    <n v="86"/>
    <x v="47"/>
    <d v="2025-02-20T00:00:00"/>
    <x v="1"/>
    <x v="1"/>
    <x v="0"/>
    <x v="0"/>
    <x v="3"/>
    <x v="2"/>
    <x v="7"/>
    <x v="1"/>
  </r>
  <r>
    <x v="1217"/>
    <x v="9"/>
    <x v="2"/>
    <n v="74.900000000000006"/>
    <n v="224.70000000000002"/>
    <x v="47"/>
    <d v="2025-02-26T00:00:00"/>
    <x v="1"/>
    <x v="3"/>
    <x v="1"/>
    <x v="0"/>
    <x v="3"/>
    <x v="8"/>
    <x v="7"/>
    <x v="1"/>
  </r>
  <r>
    <x v="1218"/>
    <x v="10"/>
    <x v="13"/>
    <n v="45"/>
    <n v="270"/>
    <x v="47"/>
    <d v="2025-02-22T00:00:00"/>
    <x v="2"/>
    <x v="2"/>
    <x v="0"/>
    <x v="0"/>
    <x v="3"/>
    <x v="0"/>
    <x v="7"/>
    <x v="2"/>
  </r>
  <r>
    <x v="1219"/>
    <x v="7"/>
    <x v="33"/>
    <n v="37.9"/>
    <n v="1288.5999999999999"/>
    <x v="47"/>
    <d v="2025-02-18T00:00:00"/>
    <x v="1"/>
    <x v="0"/>
    <x v="0"/>
    <x v="0"/>
    <x v="3"/>
    <x v="3"/>
    <x v="7"/>
    <x v="1"/>
  </r>
  <r>
    <x v="1220"/>
    <x v="6"/>
    <x v="2"/>
    <n v="56.6"/>
    <n v="169.8"/>
    <x v="47"/>
    <d v="2025-02-18T00:00:00"/>
    <x v="1"/>
    <x v="3"/>
    <x v="0"/>
    <x v="0"/>
    <x v="3"/>
    <x v="3"/>
    <x v="7"/>
    <x v="1"/>
  </r>
  <r>
    <x v="1221"/>
    <x v="3"/>
    <x v="15"/>
    <n v="84.5"/>
    <n v="1098.5"/>
    <x v="47"/>
    <d v="2025-02-20T00:00:00"/>
    <x v="2"/>
    <x v="1"/>
    <x v="4"/>
    <x v="0"/>
    <x v="3"/>
    <x v="2"/>
    <x v="7"/>
    <x v="2"/>
  </r>
  <r>
    <x v="1222"/>
    <x v="2"/>
    <x v="9"/>
    <n v="105.4"/>
    <n v="527"/>
    <x v="47"/>
    <d v="2025-02-19T00:00:00"/>
    <x v="2"/>
    <x v="1"/>
    <x v="1"/>
    <x v="0"/>
    <x v="3"/>
    <x v="1"/>
    <x v="7"/>
    <x v="2"/>
  </r>
  <r>
    <x v="1223"/>
    <x v="18"/>
    <x v="3"/>
    <n v="39.4"/>
    <n v="275.8"/>
    <x v="48"/>
    <d v="2025-02-18T00:00:00"/>
    <x v="1"/>
    <x v="1"/>
    <x v="0"/>
    <x v="0"/>
    <x v="37"/>
    <x v="7"/>
    <x v="7"/>
    <x v="1"/>
  </r>
  <r>
    <x v="1224"/>
    <x v="19"/>
    <x v="2"/>
    <n v="38"/>
    <n v="114"/>
    <x v="48"/>
    <d v="2025-02-21T00:00:00"/>
    <x v="1"/>
    <x v="4"/>
    <x v="1"/>
    <x v="0"/>
    <x v="6"/>
    <x v="2"/>
    <x v="7"/>
    <x v="1"/>
  </r>
  <r>
    <x v="1225"/>
    <x v="17"/>
    <x v="12"/>
    <n v="42.5"/>
    <n v="170"/>
    <x v="48"/>
    <d v="2025-02-20T00:00:00"/>
    <x v="0"/>
    <x v="0"/>
    <x v="0"/>
    <x v="0"/>
    <x v="6"/>
    <x v="1"/>
    <x v="7"/>
    <x v="0"/>
  </r>
  <r>
    <x v="1226"/>
    <x v="15"/>
    <x v="0"/>
    <n v="62.3"/>
    <n v="62.3"/>
    <x v="48"/>
    <d v="2025-02-27T00:00:00"/>
    <x v="1"/>
    <x v="0"/>
    <x v="2"/>
    <x v="0"/>
    <x v="6"/>
    <x v="8"/>
    <x v="7"/>
    <x v="1"/>
  </r>
  <r>
    <x v="1227"/>
    <x v="6"/>
    <x v="9"/>
    <n v="49.1"/>
    <n v="245.5"/>
    <x v="48"/>
    <d v="2025-02-20T00:00:00"/>
    <x v="2"/>
    <x v="1"/>
    <x v="2"/>
    <x v="0"/>
    <x v="7"/>
    <x v="1"/>
    <x v="7"/>
    <x v="2"/>
  </r>
  <r>
    <x v="1228"/>
    <x v="3"/>
    <x v="1"/>
    <n v="30.5"/>
    <n v="61"/>
    <x v="48"/>
    <d v="2025-02-21T00:00:00"/>
    <x v="1"/>
    <x v="0"/>
    <x v="2"/>
    <x v="0"/>
    <x v="8"/>
    <x v="2"/>
    <x v="7"/>
    <x v="1"/>
  </r>
  <r>
    <x v="1229"/>
    <x v="2"/>
    <x v="1"/>
    <n v="154.80000000000001"/>
    <n v="309.60000000000002"/>
    <x v="48"/>
    <d v="2025-02-21T00:00:00"/>
    <x v="2"/>
    <x v="1"/>
    <x v="4"/>
    <x v="0"/>
    <x v="8"/>
    <x v="2"/>
    <x v="7"/>
    <x v="2"/>
  </r>
  <r>
    <x v="1230"/>
    <x v="6"/>
    <x v="0"/>
    <n v="45"/>
    <n v="45"/>
    <x v="48"/>
    <d v="2025-02-22T00:00:00"/>
    <x v="1"/>
    <x v="3"/>
    <x v="1"/>
    <x v="0"/>
    <x v="8"/>
    <x v="5"/>
    <x v="7"/>
    <x v="1"/>
  </r>
  <r>
    <x v="1231"/>
    <x v="0"/>
    <x v="3"/>
    <n v="15.3"/>
    <n v="107.10000000000001"/>
    <x v="48"/>
    <d v="2025-02-19T00:00:00"/>
    <x v="1"/>
    <x v="0"/>
    <x v="2"/>
    <x v="0"/>
    <x v="8"/>
    <x v="3"/>
    <x v="7"/>
    <x v="1"/>
  </r>
  <r>
    <x v="1232"/>
    <x v="2"/>
    <x v="5"/>
    <n v="88.6"/>
    <n v="974.59999999999991"/>
    <x v="48"/>
    <d v="2025-02-21T00:00:00"/>
    <x v="2"/>
    <x v="0"/>
    <x v="4"/>
    <x v="0"/>
    <x v="17"/>
    <x v="2"/>
    <x v="7"/>
    <x v="2"/>
  </r>
  <r>
    <x v="1233"/>
    <x v="9"/>
    <x v="1"/>
    <n v="49.7"/>
    <n v="99.4"/>
    <x v="48"/>
    <d v="2025-02-20T00:00:00"/>
    <x v="3"/>
    <x v="4"/>
    <x v="0"/>
    <x v="0"/>
    <x v="10"/>
    <x v="1"/>
    <x v="7"/>
    <x v="3"/>
  </r>
  <r>
    <x v="1234"/>
    <x v="10"/>
    <x v="0"/>
    <n v="29"/>
    <n v="29"/>
    <x v="48"/>
    <d v="2025-02-19T00:00:00"/>
    <x v="1"/>
    <x v="0"/>
    <x v="0"/>
    <x v="0"/>
    <x v="11"/>
    <x v="3"/>
    <x v="7"/>
    <x v="1"/>
  </r>
  <r>
    <x v="1235"/>
    <x v="1"/>
    <x v="0"/>
    <n v="60.7"/>
    <n v="60.7"/>
    <x v="48"/>
    <d v="2025-02-19T00:00:00"/>
    <x v="3"/>
    <x v="0"/>
    <x v="1"/>
    <x v="0"/>
    <x v="11"/>
    <x v="3"/>
    <x v="7"/>
    <x v="3"/>
  </r>
  <r>
    <x v="1236"/>
    <x v="17"/>
    <x v="12"/>
    <n v="87.4"/>
    <n v="349.6"/>
    <x v="48"/>
    <d v="2025-02-20T00:00:00"/>
    <x v="0"/>
    <x v="0"/>
    <x v="0"/>
    <x v="0"/>
    <x v="11"/>
    <x v="1"/>
    <x v="7"/>
    <x v="0"/>
  </r>
  <r>
    <x v="1237"/>
    <x v="4"/>
    <x v="3"/>
    <n v="44.5"/>
    <n v="311.5"/>
    <x v="48"/>
    <d v="2025-02-22T00:00:00"/>
    <x v="2"/>
    <x v="2"/>
    <x v="2"/>
    <x v="0"/>
    <x v="19"/>
    <x v="5"/>
    <x v="7"/>
    <x v="2"/>
  </r>
  <r>
    <x v="1238"/>
    <x v="2"/>
    <x v="0"/>
    <n v="141"/>
    <n v="141"/>
    <x v="48"/>
    <d v="2025-02-19T00:00:00"/>
    <x v="1"/>
    <x v="4"/>
    <x v="2"/>
    <x v="0"/>
    <x v="19"/>
    <x v="3"/>
    <x v="7"/>
    <x v="1"/>
  </r>
  <r>
    <x v="1239"/>
    <x v="0"/>
    <x v="2"/>
    <n v="16.7"/>
    <n v="50.099999999999994"/>
    <x v="48"/>
    <d v="2025-02-26T00:00:00"/>
    <x v="2"/>
    <x v="0"/>
    <x v="0"/>
    <x v="0"/>
    <x v="20"/>
    <x v="9"/>
    <x v="7"/>
    <x v="2"/>
  </r>
  <r>
    <x v="1240"/>
    <x v="1"/>
    <x v="1"/>
    <n v="77.5"/>
    <n v="155"/>
    <x v="48"/>
    <d v="2025-02-19T00:00:00"/>
    <x v="0"/>
    <x v="2"/>
    <x v="2"/>
    <x v="0"/>
    <x v="13"/>
    <x v="3"/>
    <x v="7"/>
    <x v="0"/>
  </r>
  <r>
    <x v="1241"/>
    <x v="2"/>
    <x v="1"/>
    <n v="163"/>
    <n v="326"/>
    <x v="48"/>
    <d v="2025-02-24T00:00:00"/>
    <x v="2"/>
    <x v="4"/>
    <x v="0"/>
    <x v="0"/>
    <x v="21"/>
    <x v="4"/>
    <x v="7"/>
    <x v="2"/>
  </r>
  <r>
    <x v="1242"/>
    <x v="4"/>
    <x v="11"/>
    <n v="21.4"/>
    <n v="192.6"/>
    <x v="48"/>
    <d v="2025-02-21T00:00:00"/>
    <x v="2"/>
    <x v="0"/>
    <x v="0"/>
    <x v="0"/>
    <x v="51"/>
    <x v="2"/>
    <x v="7"/>
    <x v="2"/>
  </r>
  <r>
    <x v="1243"/>
    <x v="10"/>
    <x v="5"/>
    <n v="31"/>
    <n v="341"/>
    <x v="48"/>
    <d v="2025-02-20T00:00:00"/>
    <x v="2"/>
    <x v="3"/>
    <x v="2"/>
    <x v="0"/>
    <x v="1"/>
    <x v="1"/>
    <x v="7"/>
    <x v="2"/>
  </r>
  <r>
    <x v="1244"/>
    <x v="7"/>
    <x v="1"/>
    <n v="34.299999999999997"/>
    <n v="68.599999999999994"/>
    <x v="48"/>
    <d v="2025-02-20T00:00:00"/>
    <x v="2"/>
    <x v="0"/>
    <x v="3"/>
    <x v="0"/>
    <x v="1"/>
    <x v="1"/>
    <x v="7"/>
    <x v="2"/>
  </r>
  <r>
    <x v="1245"/>
    <x v="17"/>
    <x v="9"/>
    <n v="48.2"/>
    <n v="241"/>
    <x v="48"/>
    <d v="2025-02-19T00:00:00"/>
    <x v="1"/>
    <x v="1"/>
    <x v="1"/>
    <x v="0"/>
    <x v="2"/>
    <x v="3"/>
    <x v="7"/>
    <x v="1"/>
  </r>
  <r>
    <x v="1246"/>
    <x v="10"/>
    <x v="0"/>
    <n v="51.4"/>
    <n v="51.4"/>
    <x v="48"/>
    <d v="2025-02-19T00:00:00"/>
    <x v="1"/>
    <x v="0"/>
    <x v="0"/>
    <x v="0"/>
    <x v="3"/>
    <x v="3"/>
    <x v="7"/>
    <x v="1"/>
  </r>
  <r>
    <x v="1247"/>
    <x v="2"/>
    <x v="9"/>
    <n v="117.2"/>
    <n v="586"/>
    <x v="48"/>
    <d v="2025-02-21T00:00:00"/>
    <x v="2"/>
    <x v="4"/>
    <x v="4"/>
    <x v="0"/>
    <x v="3"/>
    <x v="2"/>
    <x v="7"/>
    <x v="2"/>
  </r>
  <r>
    <x v="1248"/>
    <x v="8"/>
    <x v="0"/>
    <n v="38.1"/>
    <n v="38.1"/>
    <x v="48"/>
    <d v="2025-02-18T00:00:00"/>
    <x v="1"/>
    <x v="4"/>
    <x v="1"/>
    <x v="0"/>
    <x v="3"/>
    <x v="7"/>
    <x v="7"/>
    <x v="1"/>
  </r>
  <r>
    <x v="1249"/>
    <x v="0"/>
    <x v="1"/>
    <n v="44.1"/>
    <n v="88.2"/>
    <x v="48"/>
    <d v="2025-02-20T00:00:00"/>
    <x v="2"/>
    <x v="2"/>
    <x v="0"/>
    <x v="0"/>
    <x v="3"/>
    <x v="1"/>
    <x v="7"/>
    <x v="2"/>
  </r>
  <r>
    <x v="1250"/>
    <x v="15"/>
    <x v="12"/>
    <n v="80.5"/>
    <n v="322"/>
    <x v="48"/>
    <d v="2025-02-23T00:00:00"/>
    <x v="1"/>
    <x v="0"/>
    <x v="0"/>
    <x v="0"/>
    <x v="3"/>
    <x v="0"/>
    <x v="7"/>
    <x v="1"/>
  </r>
  <r>
    <x v="1251"/>
    <x v="18"/>
    <x v="12"/>
    <n v="33.6"/>
    <n v="134.4"/>
    <x v="48"/>
    <d v="2025-02-23T00:00:00"/>
    <x v="0"/>
    <x v="0"/>
    <x v="2"/>
    <x v="0"/>
    <x v="3"/>
    <x v="0"/>
    <x v="7"/>
    <x v="0"/>
  </r>
  <r>
    <x v="1252"/>
    <x v="9"/>
    <x v="11"/>
    <n v="41.8"/>
    <n v="376.2"/>
    <x v="48"/>
    <d v="2025-02-19T00:00:00"/>
    <x v="2"/>
    <x v="0"/>
    <x v="1"/>
    <x v="0"/>
    <x v="3"/>
    <x v="3"/>
    <x v="7"/>
    <x v="2"/>
  </r>
  <r>
    <x v="1253"/>
    <x v="1"/>
    <x v="1"/>
    <n v="106.2"/>
    <n v="212.4"/>
    <x v="48"/>
    <d v="2025-02-18T00:00:00"/>
    <x v="2"/>
    <x v="4"/>
    <x v="2"/>
    <x v="0"/>
    <x v="3"/>
    <x v="7"/>
    <x v="7"/>
    <x v="2"/>
  </r>
  <r>
    <x v="1254"/>
    <x v="1"/>
    <x v="1"/>
    <n v="52.6"/>
    <n v="105.2"/>
    <x v="48"/>
    <d v="2025-02-19T00:00:00"/>
    <x v="2"/>
    <x v="0"/>
    <x v="2"/>
    <x v="0"/>
    <x v="5"/>
    <x v="3"/>
    <x v="7"/>
    <x v="2"/>
  </r>
  <r>
    <x v="1255"/>
    <x v="11"/>
    <x v="3"/>
    <n v="68.5"/>
    <n v="479.5"/>
    <x v="48"/>
    <d v="2025-02-19T00:00:00"/>
    <x v="2"/>
    <x v="1"/>
    <x v="0"/>
    <x v="0"/>
    <x v="5"/>
    <x v="3"/>
    <x v="7"/>
    <x v="2"/>
  </r>
  <r>
    <x v="1256"/>
    <x v="1"/>
    <x v="1"/>
    <n v="55.6"/>
    <n v="111.2"/>
    <x v="48"/>
    <d v="2025-02-20T00:00:00"/>
    <x v="1"/>
    <x v="1"/>
    <x v="2"/>
    <x v="0"/>
    <x v="6"/>
    <x v="1"/>
    <x v="7"/>
    <x v="1"/>
  </r>
  <r>
    <x v="1257"/>
    <x v="2"/>
    <x v="2"/>
    <n v="134.9"/>
    <n v="404.70000000000005"/>
    <x v="48"/>
    <d v="2025-02-19T00:00:00"/>
    <x v="1"/>
    <x v="1"/>
    <x v="1"/>
    <x v="0"/>
    <x v="6"/>
    <x v="3"/>
    <x v="7"/>
    <x v="1"/>
  </r>
  <r>
    <x v="1258"/>
    <x v="10"/>
    <x v="9"/>
    <n v="42.6"/>
    <n v="213"/>
    <x v="48"/>
    <d v="2025-02-19T00:00:00"/>
    <x v="1"/>
    <x v="0"/>
    <x v="0"/>
    <x v="0"/>
    <x v="6"/>
    <x v="3"/>
    <x v="7"/>
    <x v="1"/>
  </r>
  <r>
    <x v="1259"/>
    <x v="7"/>
    <x v="9"/>
    <n v="60.6"/>
    <n v="303"/>
    <x v="48"/>
    <d v="2025-02-20T00:00:00"/>
    <x v="1"/>
    <x v="4"/>
    <x v="0"/>
    <x v="0"/>
    <x v="6"/>
    <x v="1"/>
    <x v="7"/>
    <x v="1"/>
  </r>
  <r>
    <x v="1260"/>
    <x v="8"/>
    <x v="1"/>
    <n v="43.5"/>
    <n v="87"/>
    <x v="48"/>
    <d v="2025-02-19T00:00:00"/>
    <x v="1"/>
    <x v="4"/>
    <x v="0"/>
    <x v="0"/>
    <x v="7"/>
    <x v="3"/>
    <x v="7"/>
    <x v="1"/>
  </r>
  <r>
    <x v="1261"/>
    <x v="2"/>
    <x v="1"/>
    <n v="187.1"/>
    <n v="374.2"/>
    <x v="48"/>
    <d v="2025-02-19T00:00:00"/>
    <x v="1"/>
    <x v="1"/>
    <x v="2"/>
    <x v="0"/>
    <x v="8"/>
    <x v="3"/>
    <x v="7"/>
    <x v="1"/>
  </r>
  <r>
    <x v="1262"/>
    <x v="9"/>
    <x v="2"/>
    <n v="32"/>
    <n v="96"/>
    <x v="48"/>
    <d v="2025-02-20T00:00:00"/>
    <x v="1"/>
    <x v="0"/>
    <x v="0"/>
    <x v="0"/>
    <x v="8"/>
    <x v="1"/>
    <x v="7"/>
    <x v="1"/>
  </r>
  <r>
    <x v="1263"/>
    <x v="9"/>
    <x v="1"/>
    <n v="110.8"/>
    <n v="221.6"/>
    <x v="48"/>
    <d v="2025-02-18T00:00:00"/>
    <x v="1"/>
    <x v="0"/>
    <x v="2"/>
    <x v="0"/>
    <x v="8"/>
    <x v="7"/>
    <x v="7"/>
    <x v="1"/>
  </r>
  <r>
    <x v="1264"/>
    <x v="10"/>
    <x v="15"/>
    <n v="36.1"/>
    <n v="469.3"/>
    <x v="48"/>
    <d v="2025-02-21T00:00:00"/>
    <x v="2"/>
    <x v="0"/>
    <x v="1"/>
    <x v="0"/>
    <x v="8"/>
    <x v="2"/>
    <x v="7"/>
    <x v="2"/>
  </r>
  <r>
    <x v="1265"/>
    <x v="0"/>
    <x v="0"/>
    <n v="24.1"/>
    <n v="24.1"/>
    <x v="48"/>
    <d v="2025-02-20T00:00:00"/>
    <x v="2"/>
    <x v="4"/>
    <x v="2"/>
    <x v="0"/>
    <x v="8"/>
    <x v="1"/>
    <x v="7"/>
    <x v="2"/>
  </r>
  <r>
    <x v="1266"/>
    <x v="19"/>
    <x v="2"/>
    <n v="30.5"/>
    <n v="91.5"/>
    <x v="48"/>
    <d v="2025-02-20T00:00:00"/>
    <x v="1"/>
    <x v="1"/>
    <x v="0"/>
    <x v="0"/>
    <x v="8"/>
    <x v="1"/>
    <x v="7"/>
    <x v="1"/>
  </r>
  <r>
    <x v="1267"/>
    <x v="18"/>
    <x v="13"/>
    <n v="68.3"/>
    <n v="409.79999999999995"/>
    <x v="48"/>
    <d v="2025-02-21T00:00:00"/>
    <x v="1"/>
    <x v="0"/>
    <x v="0"/>
    <x v="0"/>
    <x v="8"/>
    <x v="2"/>
    <x v="7"/>
    <x v="1"/>
  </r>
  <r>
    <x v="1268"/>
    <x v="7"/>
    <x v="2"/>
    <n v="43.3"/>
    <n v="129.89999999999998"/>
    <x v="48"/>
    <d v="2025-02-22T00:00:00"/>
    <x v="2"/>
    <x v="0"/>
    <x v="0"/>
    <x v="0"/>
    <x v="17"/>
    <x v="5"/>
    <x v="7"/>
    <x v="2"/>
  </r>
  <r>
    <x v="1269"/>
    <x v="3"/>
    <x v="0"/>
    <n v="101.7"/>
    <n v="101.7"/>
    <x v="48"/>
    <d v="2025-02-21T00:00:00"/>
    <x v="2"/>
    <x v="0"/>
    <x v="1"/>
    <x v="0"/>
    <x v="17"/>
    <x v="2"/>
    <x v="7"/>
    <x v="2"/>
  </r>
  <r>
    <x v="1270"/>
    <x v="11"/>
    <x v="1"/>
    <n v="54.2"/>
    <n v="108.4"/>
    <x v="48"/>
    <d v="2025-02-19T00:00:00"/>
    <x v="2"/>
    <x v="0"/>
    <x v="1"/>
    <x v="0"/>
    <x v="17"/>
    <x v="3"/>
    <x v="7"/>
    <x v="2"/>
  </r>
  <r>
    <x v="1271"/>
    <x v="16"/>
    <x v="1"/>
    <n v="51"/>
    <n v="102"/>
    <x v="48"/>
    <d v="2025-02-18T00:00:00"/>
    <x v="1"/>
    <x v="1"/>
    <x v="0"/>
    <x v="0"/>
    <x v="26"/>
    <x v="7"/>
    <x v="7"/>
    <x v="1"/>
  </r>
  <r>
    <x v="1272"/>
    <x v="4"/>
    <x v="1"/>
    <n v="23.1"/>
    <n v="46.2"/>
    <x v="48"/>
    <d v="2025-02-21T00:00:00"/>
    <x v="1"/>
    <x v="1"/>
    <x v="0"/>
    <x v="0"/>
    <x v="10"/>
    <x v="2"/>
    <x v="7"/>
    <x v="1"/>
  </r>
  <r>
    <x v="1273"/>
    <x v="12"/>
    <x v="13"/>
    <n v="60.1"/>
    <n v="360.6"/>
    <x v="48"/>
    <d v="2025-02-18T00:00:00"/>
    <x v="2"/>
    <x v="3"/>
    <x v="0"/>
    <x v="0"/>
    <x v="11"/>
    <x v="7"/>
    <x v="7"/>
    <x v="2"/>
  </r>
  <r>
    <x v="1274"/>
    <x v="2"/>
    <x v="3"/>
    <n v="87.5"/>
    <n v="612.5"/>
    <x v="48"/>
    <d v="2025-02-20T00:00:00"/>
    <x v="2"/>
    <x v="0"/>
    <x v="1"/>
    <x v="0"/>
    <x v="11"/>
    <x v="1"/>
    <x v="7"/>
    <x v="2"/>
  </r>
  <r>
    <x v="1275"/>
    <x v="1"/>
    <x v="2"/>
    <n v="51"/>
    <n v="153"/>
    <x v="48"/>
    <d v="2025-02-19T00:00:00"/>
    <x v="2"/>
    <x v="1"/>
    <x v="0"/>
    <x v="0"/>
    <x v="11"/>
    <x v="3"/>
    <x v="7"/>
    <x v="2"/>
  </r>
  <r>
    <x v="1276"/>
    <x v="8"/>
    <x v="12"/>
    <n v="19.2"/>
    <n v="76.8"/>
    <x v="48"/>
    <d v="2025-02-20T00:00:00"/>
    <x v="2"/>
    <x v="0"/>
    <x v="0"/>
    <x v="0"/>
    <x v="11"/>
    <x v="1"/>
    <x v="7"/>
    <x v="2"/>
  </r>
  <r>
    <x v="1277"/>
    <x v="5"/>
    <x v="8"/>
    <n v="26.5"/>
    <n v="212"/>
    <x v="48"/>
    <d v="2025-02-19T00:00:00"/>
    <x v="0"/>
    <x v="3"/>
    <x v="2"/>
    <x v="0"/>
    <x v="11"/>
    <x v="3"/>
    <x v="7"/>
    <x v="0"/>
  </r>
  <r>
    <x v="1278"/>
    <x v="2"/>
    <x v="1"/>
    <n v="220.3"/>
    <n v="440.6"/>
    <x v="48"/>
    <d v="2025-02-19T00:00:00"/>
    <x v="2"/>
    <x v="1"/>
    <x v="4"/>
    <x v="0"/>
    <x v="53"/>
    <x v="3"/>
    <x v="7"/>
    <x v="2"/>
  </r>
  <r>
    <x v="1279"/>
    <x v="8"/>
    <x v="2"/>
    <n v="45.7"/>
    <n v="137.10000000000002"/>
    <x v="48"/>
    <d v="2025-02-19T00:00:00"/>
    <x v="2"/>
    <x v="4"/>
    <x v="0"/>
    <x v="0"/>
    <x v="30"/>
    <x v="3"/>
    <x v="7"/>
    <x v="2"/>
  </r>
  <r>
    <x v="1280"/>
    <x v="5"/>
    <x v="9"/>
    <n v="47.1"/>
    <n v="235.5"/>
    <x v="48"/>
    <d v="2025-02-22T00:00:00"/>
    <x v="2"/>
    <x v="3"/>
    <x v="0"/>
    <x v="0"/>
    <x v="13"/>
    <x v="5"/>
    <x v="7"/>
    <x v="2"/>
  </r>
  <r>
    <x v="1281"/>
    <x v="1"/>
    <x v="9"/>
    <n v="81.7"/>
    <n v="408.5"/>
    <x v="48"/>
    <d v="2025-02-19T00:00:00"/>
    <x v="2"/>
    <x v="0"/>
    <x v="2"/>
    <x v="0"/>
    <x v="21"/>
    <x v="3"/>
    <x v="7"/>
    <x v="2"/>
  </r>
  <r>
    <x v="1282"/>
    <x v="6"/>
    <x v="7"/>
    <n v="97.8"/>
    <n v="978"/>
    <x v="48"/>
    <d v="2025-02-18T00:00:00"/>
    <x v="1"/>
    <x v="1"/>
    <x v="1"/>
    <x v="0"/>
    <x v="21"/>
    <x v="7"/>
    <x v="7"/>
    <x v="1"/>
  </r>
  <r>
    <x v="1283"/>
    <x v="6"/>
    <x v="2"/>
    <n v="42.4"/>
    <n v="127.19999999999999"/>
    <x v="48"/>
    <d v="2025-02-19T00:00:00"/>
    <x v="2"/>
    <x v="0"/>
    <x v="2"/>
    <x v="0"/>
    <x v="54"/>
    <x v="3"/>
    <x v="7"/>
    <x v="2"/>
  </r>
  <r>
    <x v="1284"/>
    <x v="2"/>
    <x v="7"/>
    <n v="74.5"/>
    <n v="745"/>
    <x v="48"/>
    <d v="2025-02-19T00:00:00"/>
    <x v="1"/>
    <x v="2"/>
    <x v="1"/>
    <x v="0"/>
    <x v="1"/>
    <x v="3"/>
    <x v="7"/>
    <x v="1"/>
  </r>
  <r>
    <x v="1285"/>
    <x v="17"/>
    <x v="13"/>
    <n v="47.4"/>
    <n v="284.39999999999998"/>
    <x v="48"/>
    <d v="2025-02-19T00:00:00"/>
    <x v="1"/>
    <x v="1"/>
    <x v="0"/>
    <x v="0"/>
    <x v="1"/>
    <x v="3"/>
    <x v="7"/>
    <x v="1"/>
  </r>
  <r>
    <x v="1286"/>
    <x v="14"/>
    <x v="2"/>
    <n v="17.3"/>
    <n v="51.900000000000006"/>
    <x v="49"/>
    <d v="2025-02-22T00:00:00"/>
    <x v="1"/>
    <x v="2"/>
    <x v="2"/>
    <x v="0"/>
    <x v="1"/>
    <x v="2"/>
    <x v="7"/>
    <x v="1"/>
  </r>
  <r>
    <x v="1287"/>
    <x v="12"/>
    <x v="12"/>
    <n v="77.900000000000006"/>
    <n v="311.60000000000002"/>
    <x v="49"/>
    <d v="2025-02-20T00:00:00"/>
    <x v="1"/>
    <x v="1"/>
    <x v="0"/>
    <x v="0"/>
    <x v="2"/>
    <x v="3"/>
    <x v="7"/>
    <x v="1"/>
  </r>
  <r>
    <x v="1288"/>
    <x v="8"/>
    <x v="0"/>
    <n v="29.1"/>
    <n v="29.1"/>
    <x v="49"/>
    <d v="2025-02-22T00:00:00"/>
    <x v="1"/>
    <x v="0"/>
    <x v="2"/>
    <x v="0"/>
    <x v="50"/>
    <x v="2"/>
    <x v="7"/>
    <x v="1"/>
  </r>
  <r>
    <x v="1289"/>
    <x v="8"/>
    <x v="0"/>
    <n v="49"/>
    <n v="49"/>
    <x v="49"/>
    <d v="2025-02-20T00:00:00"/>
    <x v="1"/>
    <x v="1"/>
    <x v="0"/>
    <x v="0"/>
    <x v="3"/>
    <x v="3"/>
    <x v="7"/>
    <x v="1"/>
  </r>
  <r>
    <x v="1290"/>
    <x v="8"/>
    <x v="13"/>
    <n v="21.1"/>
    <n v="126.60000000000001"/>
    <x v="49"/>
    <d v="2025-02-26T00:00:00"/>
    <x v="1"/>
    <x v="0"/>
    <x v="2"/>
    <x v="0"/>
    <x v="3"/>
    <x v="6"/>
    <x v="7"/>
    <x v="1"/>
  </r>
  <r>
    <x v="1291"/>
    <x v="4"/>
    <x v="10"/>
    <n v="36.9"/>
    <n v="701.1"/>
    <x v="49"/>
    <d v="2025-02-19T00:00:00"/>
    <x v="2"/>
    <x v="0"/>
    <x v="0"/>
    <x v="0"/>
    <x v="3"/>
    <x v="7"/>
    <x v="7"/>
    <x v="2"/>
  </r>
  <r>
    <x v="1292"/>
    <x v="1"/>
    <x v="7"/>
    <n v="92.6"/>
    <n v="926"/>
    <x v="49"/>
    <d v="2025-02-24T00:00:00"/>
    <x v="1"/>
    <x v="4"/>
    <x v="2"/>
    <x v="0"/>
    <x v="3"/>
    <x v="0"/>
    <x v="7"/>
    <x v="1"/>
  </r>
  <r>
    <x v="1293"/>
    <x v="10"/>
    <x v="1"/>
    <n v="38"/>
    <n v="76"/>
    <x v="49"/>
    <d v="2025-02-20T00:00:00"/>
    <x v="1"/>
    <x v="1"/>
    <x v="1"/>
    <x v="0"/>
    <x v="3"/>
    <x v="3"/>
    <x v="7"/>
    <x v="1"/>
  </r>
  <r>
    <x v="1294"/>
    <x v="5"/>
    <x v="2"/>
    <n v="54.8"/>
    <n v="164.39999999999998"/>
    <x v="49"/>
    <d v="2025-02-23T00:00:00"/>
    <x v="0"/>
    <x v="0"/>
    <x v="1"/>
    <x v="0"/>
    <x v="3"/>
    <x v="5"/>
    <x v="7"/>
    <x v="0"/>
  </r>
  <r>
    <x v="1295"/>
    <x v="10"/>
    <x v="4"/>
    <n v="56.8"/>
    <n v="681.59999999999991"/>
    <x v="49"/>
    <d v="2025-02-21T00:00:00"/>
    <x v="1"/>
    <x v="1"/>
    <x v="0"/>
    <x v="0"/>
    <x v="3"/>
    <x v="1"/>
    <x v="7"/>
    <x v="1"/>
  </r>
  <r>
    <x v="1296"/>
    <x v="11"/>
    <x v="40"/>
    <n v="47.2"/>
    <n v="1557.6000000000001"/>
    <x v="49"/>
    <d v="2025-02-22T00:00:00"/>
    <x v="2"/>
    <x v="1"/>
    <x v="0"/>
    <x v="0"/>
    <x v="3"/>
    <x v="2"/>
    <x v="7"/>
    <x v="2"/>
  </r>
  <r>
    <x v="1297"/>
    <x v="7"/>
    <x v="13"/>
    <n v="45.1"/>
    <n v="270.60000000000002"/>
    <x v="49"/>
    <d v="2025-02-20T00:00:00"/>
    <x v="2"/>
    <x v="2"/>
    <x v="0"/>
    <x v="0"/>
    <x v="43"/>
    <x v="3"/>
    <x v="7"/>
    <x v="2"/>
  </r>
  <r>
    <x v="1298"/>
    <x v="4"/>
    <x v="4"/>
    <n v="25.2"/>
    <n v="302.39999999999998"/>
    <x v="49"/>
    <d v="2025-02-24T00:00:00"/>
    <x v="2"/>
    <x v="2"/>
    <x v="0"/>
    <x v="0"/>
    <x v="16"/>
    <x v="0"/>
    <x v="7"/>
    <x v="2"/>
  </r>
  <r>
    <x v="1299"/>
    <x v="8"/>
    <x v="0"/>
    <n v="22"/>
    <n v="22"/>
    <x v="49"/>
    <d v="2025-02-20T00:00:00"/>
    <x v="2"/>
    <x v="0"/>
    <x v="0"/>
    <x v="0"/>
    <x v="5"/>
    <x v="3"/>
    <x v="7"/>
    <x v="2"/>
  </r>
  <r>
    <x v="1300"/>
    <x v="6"/>
    <x v="1"/>
    <n v="42.2"/>
    <n v="84.4"/>
    <x v="49"/>
    <d v="2025-02-20T00:00:00"/>
    <x v="2"/>
    <x v="1"/>
    <x v="1"/>
    <x v="0"/>
    <x v="23"/>
    <x v="3"/>
    <x v="7"/>
    <x v="2"/>
  </r>
  <r>
    <x v="1301"/>
    <x v="13"/>
    <x v="2"/>
    <n v="20.5"/>
    <n v="61.5"/>
    <x v="49"/>
    <d v="2025-02-20T00:00:00"/>
    <x v="1"/>
    <x v="0"/>
    <x v="1"/>
    <x v="0"/>
    <x v="6"/>
    <x v="3"/>
    <x v="7"/>
    <x v="1"/>
  </r>
  <r>
    <x v="1302"/>
    <x v="2"/>
    <x v="0"/>
    <n v="190.4"/>
    <n v="190.4"/>
    <x v="49"/>
    <d v="2025-02-24T00:00:00"/>
    <x v="1"/>
    <x v="1"/>
    <x v="4"/>
    <x v="0"/>
    <x v="6"/>
    <x v="0"/>
    <x v="7"/>
    <x v="1"/>
  </r>
  <r>
    <x v="1303"/>
    <x v="2"/>
    <x v="0"/>
    <n v="121.9"/>
    <n v="121.9"/>
    <x v="49"/>
    <d v="2025-02-21T00:00:00"/>
    <x v="2"/>
    <x v="1"/>
    <x v="2"/>
    <x v="0"/>
    <x v="6"/>
    <x v="1"/>
    <x v="7"/>
    <x v="2"/>
  </r>
  <r>
    <x v="1304"/>
    <x v="2"/>
    <x v="13"/>
    <n v="149.19999999999999"/>
    <n v="895.19999999999993"/>
    <x v="49"/>
    <d v="2025-02-20T00:00:00"/>
    <x v="2"/>
    <x v="2"/>
    <x v="2"/>
    <x v="0"/>
    <x v="7"/>
    <x v="3"/>
    <x v="7"/>
    <x v="2"/>
  </r>
  <r>
    <x v="1305"/>
    <x v="2"/>
    <x v="0"/>
    <n v="54.1"/>
    <n v="54.1"/>
    <x v="49"/>
    <d v="2025-02-28T00:00:00"/>
    <x v="2"/>
    <x v="2"/>
    <x v="2"/>
    <x v="0"/>
    <x v="7"/>
    <x v="8"/>
    <x v="7"/>
    <x v="2"/>
  </r>
  <r>
    <x v="1306"/>
    <x v="5"/>
    <x v="1"/>
    <n v="27.4"/>
    <n v="54.8"/>
    <x v="49"/>
    <d v="2025-02-21T00:00:00"/>
    <x v="1"/>
    <x v="1"/>
    <x v="0"/>
    <x v="0"/>
    <x v="8"/>
    <x v="1"/>
    <x v="7"/>
    <x v="1"/>
  </r>
  <r>
    <x v="1307"/>
    <x v="0"/>
    <x v="15"/>
    <n v="30.4"/>
    <n v="395.2"/>
    <x v="49"/>
    <d v="2025-02-20T00:00:00"/>
    <x v="2"/>
    <x v="0"/>
    <x v="2"/>
    <x v="0"/>
    <x v="8"/>
    <x v="3"/>
    <x v="7"/>
    <x v="2"/>
  </r>
  <r>
    <x v="1308"/>
    <x v="12"/>
    <x v="2"/>
    <n v="46.2"/>
    <n v="138.60000000000002"/>
    <x v="49"/>
    <d v="2025-02-21T00:00:00"/>
    <x v="1"/>
    <x v="2"/>
    <x v="1"/>
    <x v="0"/>
    <x v="17"/>
    <x v="1"/>
    <x v="7"/>
    <x v="1"/>
  </r>
  <r>
    <x v="1309"/>
    <x v="7"/>
    <x v="8"/>
    <n v="78.599999999999994"/>
    <n v="628.79999999999995"/>
    <x v="49"/>
    <d v="2025-02-23T00:00:00"/>
    <x v="1"/>
    <x v="3"/>
    <x v="0"/>
    <x v="0"/>
    <x v="17"/>
    <x v="5"/>
    <x v="7"/>
    <x v="1"/>
  </r>
  <r>
    <x v="1310"/>
    <x v="17"/>
    <x v="7"/>
    <n v="25.9"/>
    <n v="259"/>
    <x v="49"/>
    <d v="2025-02-25T00:00:00"/>
    <x v="1"/>
    <x v="4"/>
    <x v="0"/>
    <x v="0"/>
    <x v="9"/>
    <x v="4"/>
    <x v="7"/>
    <x v="1"/>
  </r>
  <r>
    <x v="1311"/>
    <x v="6"/>
    <x v="0"/>
    <n v="134.80000000000001"/>
    <n v="134.80000000000001"/>
    <x v="49"/>
    <d v="2025-02-21T00:00:00"/>
    <x v="1"/>
    <x v="2"/>
    <x v="2"/>
    <x v="0"/>
    <x v="9"/>
    <x v="1"/>
    <x v="7"/>
    <x v="1"/>
  </r>
  <r>
    <x v="1312"/>
    <x v="15"/>
    <x v="9"/>
    <n v="43.1"/>
    <n v="215.5"/>
    <x v="49"/>
    <d v="2025-02-21T00:00:00"/>
    <x v="2"/>
    <x v="0"/>
    <x v="0"/>
    <x v="0"/>
    <x v="11"/>
    <x v="1"/>
    <x v="7"/>
    <x v="2"/>
  </r>
  <r>
    <x v="1313"/>
    <x v="2"/>
    <x v="1"/>
    <n v="215.6"/>
    <n v="431.2"/>
    <x v="49"/>
    <d v="2025-02-20T00:00:00"/>
    <x v="2"/>
    <x v="2"/>
    <x v="0"/>
    <x v="0"/>
    <x v="18"/>
    <x v="3"/>
    <x v="7"/>
    <x v="2"/>
  </r>
  <r>
    <x v="1314"/>
    <x v="6"/>
    <x v="1"/>
    <n v="80.7"/>
    <n v="161.4"/>
    <x v="49"/>
    <d v="2025-02-22T00:00:00"/>
    <x v="2"/>
    <x v="3"/>
    <x v="0"/>
    <x v="0"/>
    <x v="18"/>
    <x v="2"/>
    <x v="7"/>
    <x v="2"/>
  </r>
  <r>
    <x v="1315"/>
    <x v="10"/>
    <x v="3"/>
    <n v="20.6"/>
    <n v="144.20000000000002"/>
    <x v="49"/>
    <d v="2025-02-24T00:00:00"/>
    <x v="0"/>
    <x v="2"/>
    <x v="1"/>
    <x v="0"/>
    <x v="19"/>
    <x v="0"/>
    <x v="7"/>
    <x v="0"/>
  </r>
  <r>
    <x v="1316"/>
    <x v="12"/>
    <x v="2"/>
    <n v="37.1"/>
    <n v="111.30000000000001"/>
    <x v="49"/>
    <d v="2025-02-20T00:00:00"/>
    <x v="2"/>
    <x v="0"/>
    <x v="0"/>
    <x v="0"/>
    <x v="52"/>
    <x v="3"/>
    <x v="7"/>
    <x v="2"/>
  </r>
  <r>
    <x v="1317"/>
    <x v="12"/>
    <x v="0"/>
    <n v="104.8"/>
    <n v="104.8"/>
    <x v="50"/>
    <d v="2025-02-22T00:00:00"/>
    <x v="2"/>
    <x v="0"/>
    <x v="0"/>
    <x v="0"/>
    <x v="13"/>
    <x v="1"/>
    <x v="7"/>
    <x v="2"/>
  </r>
  <r>
    <x v="1318"/>
    <x v="8"/>
    <x v="1"/>
    <n v="59"/>
    <n v="118"/>
    <x v="50"/>
    <d v="2025-02-21T00:00:00"/>
    <x v="1"/>
    <x v="1"/>
    <x v="0"/>
    <x v="0"/>
    <x v="21"/>
    <x v="3"/>
    <x v="7"/>
    <x v="1"/>
  </r>
  <r>
    <x v="1319"/>
    <x v="8"/>
    <x v="1"/>
    <n v="32.299999999999997"/>
    <n v="64.599999999999994"/>
    <x v="50"/>
    <d v="2025-02-21T00:00:00"/>
    <x v="1"/>
    <x v="0"/>
    <x v="2"/>
    <x v="0"/>
    <x v="21"/>
    <x v="3"/>
    <x v="7"/>
    <x v="1"/>
  </r>
  <r>
    <x v="1320"/>
    <x v="8"/>
    <x v="12"/>
    <n v="28.9"/>
    <n v="115.6"/>
    <x v="50"/>
    <d v="2025-02-27T00:00:00"/>
    <x v="1"/>
    <x v="0"/>
    <x v="0"/>
    <x v="0"/>
    <x v="1"/>
    <x v="6"/>
    <x v="7"/>
    <x v="1"/>
  </r>
  <r>
    <x v="1321"/>
    <x v="0"/>
    <x v="1"/>
    <n v="29.6"/>
    <n v="59.2"/>
    <x v="50"/>
    <d v="2025-02-22T00:00:00"/>
    <x v="1"/>
    <x v="0"/>
    <x v="0"/>
    <x v="0"/>
    <x v="1"/>
    <x v="1"/>
    <x v="7"/>
    <x v="1"/>
  </r>
  <r>
    <x v="1322"/>
    <x v="0"/>
    <x v="9"/>
    <n v="29.4"/>
    <n v="147"/>
    <x v="50"/>
    <d v="2025-02-23T00:00:00"/>
    <x v="2"/>
    <x v="0"/>
    <x v="0"/>
    <x v="0"/>
    <x v="1"/>
    <x v="2"/>
    <x v="7"/>
    <x v="2"/>
  </r>
  <r>
    <x v="1323"/>
    <x v="1"/>
    <x v="1"/>
    <n v="40.6"/>
    <n v="81.2"/>
    <x v="50"/>
    <d v="2025-02-21T00:00:00"/>
    <x v="1"/>
    <x v="0"/>
    <x v="4"/>
    <x v="0"/>
    <x v="2"/>
    <x v="3"/>
    <x v="7"/>
    <x v="1"/>
  </r>
  <r>
    <x v="1324"/>
    <x v="0"/>
    <x v="2"/>
    <n v="32.5"/>
    <n v="97.5"/>
    <x v="50"/>
    <d v="2025-02-21T00:00:00"/>
    <x v="1"/>
    <x v="3"/>
    <x v="2"/>
    <x v="0"/>
    <x v="22"/>
    <x v="3"/>
    <x v="7"/>
    <x v="1"/>
  </r>
  <r>
    <x v="1325"/>
    <x v="15"/>
    <x v="0"/>
    <n v="26.2"/>
    <n v="26.2"/>
    <x v="50"/>
    <d v="2025-02-22T00:00:00"/>
    <x v="1"/>
    <x v="2"/>
    <x v="0"/>
    <x v="0"/>
    <x v="55"/>
    <x v="1"/>
    <x v="7"/>
    <x v="1"/>
  </r>
  <r>
    <x v="1326"/>
    <x v="10"/>
    <x v="17"/>
    <n v="44"/>
    <n v="1320"/>
    <x v="50"/>
    <d v="2025-02-26T00:00:00"/>
    <x v="1"/>
    <x v="4"/>
    <x v="0"/>
    <x v="0"/>
    <x v="3"/>
    <x v="4"/>
    <x v="7"/>
    <x v="1"/>
  </r>
  <r>
    <x v="1327"/>
    <x v="7"/>
    <x v="12"/>
    <n v="65.599999999999994"/>
    <n v="262.39999999999998"/>
    <x v="50"/>
    <d v="2025-02-21T00:00:00"/>
    <x v="2"/>
    <x v="1"/>
    <x v="1"/>
    <x v="0"/>
    <x v="3"/>
    <x v="3"/>
    <x v="7"/>
    <x v="2"/>
  </r>
  <r>
    <x v="1328"/>
    <x v="5"/>
    <x v="4"/>
    <n v="32.6"/>
    <n v="391.20000000000005"/>
    <x v="50"/>
    <d v="2025-02-21T00:00:00"/>
    <x v="1"/>
    <x v="4"/>
    <x v="0"/>
    <x v="0"/>
    <x v="3"/>
    <x v="3"/>
    <x v="7"/>
    <x v="1"/>
  </r>
  <r>
    <x v="1329"/>
    <x v="16"/>
    <x v="1"/>
    <n v="88.7"/>
    <n v="177.4"/>
    <x v="50"/>
    <d v="2025-02-21T00:00:00"/>
    <x v="0"/>
    <x v="3"/>
    <x v="2"/>
    <x v="0"/>
    <x v="3"/>
    <x v="3"/>
    <x v="7"/>
    <x v="0"/>
  </r>
  <r>
    <x v="1330"/>
    <x v="4"/>
    <x v="1"/>
    <n v="21.3"/>
    <n v="42.6"/>
    <x v="50"/>
    <d v="2025-02-21T00:00:00"/>
    <x v="1"/>
    <x v="0"/>
    <x v="0"/>
    <x v="0"/>
    <x v="3"/>
    <x v="3"/>
    <x v="7"/>
    <x v="1"/>
  </r>
  <r>
    <x v="1331"/>
    <x v="4"/>
    <x v="13"/>
    <n v="50.6"/>
    <n v="303.60000000000002"/>
    <x v="50"/>
    <d v="2025-02-24T00:00:00"/>
    <x v="2"/>
    <x v="2"/>
    <x v="0"/>
    <x v="0"/>
    <x v="3"/>
    <x v="5"/>
    <x v="7"/>
    <x v="2"/>
  </r>
  <r>
    <x v="1332"/>
    <x v="9"/>
    <x v="38"/>
    <n v="86.9"/>
    <n v="1824.9"/>
    <x v="50"/>
    <d v="2025-02-23T00:00:00"/>
    <x v="2"/>
    <x v="0"/>
    <x v="1"/>
    <x v="0"/>
    <x v="3"/>
    <x v="2"/>
    <x v="7"/>
    <x v="2"/>
  </r>
  <r>
    <x v="1333"/>
    <x v="11"/>
    <x v="2"/>
    <n v="31.8"/>
    <n v="95.4"/>
    <x v="50"/>
    <d v="2025-02-22T00:00:00"/>
    <x v="1"/>
    <x v="0"/>
    <x v="2"/>
    <x v="0"/>
    <x v="3"/>
    <x v="1"/>
    <x v="7"/>
    <x v="1"/>
  </r>
  <r>
    <x v="1334"/>
    <x v="8"/>
    <x v="0"/>
    <n v="19"/>
    <n v="19"/>
    <x v="50"/>
    <d v="2025-02-21T00:00:00"/>
    <x v="2"/>
    <x v="0"/>
    <x v="2"/>
    <x v="0"/>
    <x v="3"/>
    <x v="3"/>
    <x v="7"/>
    <x v="2"/>
  </r>
  <r>
    <x v="1335"/>
    <x v="5"/>
    <x v="0"/>
    <n v="54.5"/>
    <n v="54.5"/>
    <x v="50"/>
    <d v="2025-02-22T00:00:00"/>
    <x v="1"/>
    <x v="0"/>
    <x v="0"/>
    <x v="0"/>
    <x v="3"/>
    <x v="1"/>
    <x v="7"/>
    <x v="1"/>
  </r>
  <r>
    <x v="1336"/>
    <x v="9"/>
    <x v="9"/>
    <n v="68.900000000000006"/>
    <n v="344.5"/>
    <x v="50"/>
    <d v="2025-02-22T00:00:00"/>
    <x v="1"/>
    <x v="4"/>
    <x v="1"/>
    <x v="0"/>
    <x v="3"/>
    <x v="1"/>
    <x v="7"/>
    <x v="1"/>
  </r>
  <r>
    <x v="1337"/>
    <x v="6"/>
    <x v="2"/>
    <n v="84"/>
    <n v="252"/>
    <x v="50"/>
    <d v="2025-02-21T00:00:00"/>
    <x v="1"/>
    <x v="1"/>
    <x v="4"/>
    <x v="0"/>
    <x v="16"/>
    <x v="3"/>
    <x v="7"/>
    <x v="1"/>
  </r>
  <r>
    <x v="1338"/>
    <x v="15"/>
    <x v="8"/>
    <n v="23.1"/>
    <n v="184.8"/>
    <x v="50"/>
    <d v="2025-02-25T00:00:00"/>
    <x v="1"/>
    <x v="0"/>
    <x v="2"/>
    <x v="0"/>
    <x v="23"/>
    <x v="0"/>
    <x v="7"/>
    <x v="1"/>
  </r>
  <r>
    <x v="1339"/>
    <x v="7"/>
    <x v="1"/>
    <n v="62.4"/>
    <n v="124.8"/>
    <x v="50"/>
    <d v="2025-02-21T00:00:00"/>
    <x v="2"/>
    <x v="0"/>
    <x v="1"/>
    <x v="0"/>
    <x v="6"/>
    <x v="3"/>
    <x v="7"/>
    <x v="2"/>
  </r>
  <r>
    <x v="1340"/>
    <x v="6"/>
    <x v="4"/>
    <n v="40.700000000000003"/>
    <n v="488.40000000000003"/>
    <x v="50"/>
    <d v="2025-02-22T00:00:00"/>
    <x v="1"/>
    <x v="1"/>
    <x v="2"/>
    <x v="0"/>
    <x v="6"/>
    <x v="1"/>
    <x v="7"/>
    <x v="1"/>
  </r>
  <r>
    <x v="1341"/>
    <x v="6"/>
    <x v="0"/>
    <n v="49.6"/>
    <n v="49.6"/>
    <x v="50"/>
    <d v="2025-02-23T00:00:00"/>
    <x v="1"/>
    <x v="2"/>
    <x v="0"/>
    <x v="0"/>
    <x v="7"/>
    <x v="2"/>
    <x v="7"/>
    <x v="1"/>
  </r>
  <r>
    <x v="1342"/>
    <x v="7"/>
    <x v="41"/>
    <n v="66.599999999999994"/>
    <n v="2996.9999999999995"/>
    <x v="50"/>
    <d v="2025-02-23T00:00:00"/>
    <x v="1"/>
    <x v="2"/>
    <x v="0"/>
    <x v="0"/>
    <x v="8"/>
    <x v="2"/>
    <x v="7"/>
    <x v="1"/>
  </r>
  <r>
    <x v="1343"/>
    <x v="8"/>
    <x v="2"/>
    <n v="26.4"/>
    <n v="79.199999999999989"/>
    <x v="50"/>
    <d v="2025-02-21T00:00:00"/>
    <x v="2"/>
    <x v="1"/>
    <x v="1"/>
    <x v="0"/>
    <x v="8"/>
    <x v="3"/>
    <x v="7"/>
    <x v="2"/>
  </r>
  <r>
    <x v="1344"/>
    <x v="0"/>
    <x v="1"/>
    <n v="17.2"/>
    <n v="34.4"/>
    <x v="50"/>
    <d v="2025-02-23T00:00:00"/>
    <x v="1"/>
    <x v="2"/>
    <x v="1"/>
    <x v="0"/>
    <x v="8"/>
    <x v="2"/>
    <x v="7"/>
    <x v="1"/>
  </r>
  <r>
    <x v="1345"/>
    <x v="5"/>
    <x v="8"/>
    <n v="58.1"/>
    <n v="464.8"/>
    <x v="50"/>
    <d v="2025-02-23T00:00:00"/>
    <x v="2"/>
    <x v="4"/>
    <x v="0"/>
    <x v="0"/>
    <x v="8"/>
    <x v="2"/>
    <x v="7"/>
    <x v="2"/>
  </r>
  <r>
    <x v="1346"/>
    <x v="15"/>
    <x v="12"/>
    <n v="31.5"/>
    <n v="126"/>
    <x v="50"/>
    <d v="2025-02-23T00:00:00"/>
    <x v="2"/>
    <x v="4"/>
    <x v="4"/>
    <x v="0"/>
    <x v="8"/>
    <x v="2"/>
    <x v="7"/>
    <x v="2"/>
  </r>
  <r>
    <x v="1347"/>
    <x v="0"/>
    <x v="0"/>
    <n v="27.1"/>
    <n v="27.1"/>
    <x v="50"/>
    <d v="2025-02-22T00:00:00"/>
    <x v="2"/>
    <x v="0"/>
    <x v="1"/>
    <x v="0"/>
    <x v="17"/>
    <x v="1"/>
    <x v="7"/>
    <x v="2"/>
  </r>
  <r>
    <x v="1348"/>
    <x v="18"/>
    <x v="12"/>
    <n v="28.5"/>
    <n v="114"/>
    <x v="50"/>
    <d v="2025-02-22T00:00:00"/>
    <x v="1"/>
    <x v="1"/>
    <x v="2"/>
    <x v="0"/>
    <x v="9"/>
    <x v="1"/>
    <x v="7"/>
    <x v="1"/>
  </r>
  <r>
    <x v="1349"/>
    <x v="10"/>
    <x v="0"/>
    <n v="40.5"/>
    <n v="40.5"/>
    <x v="51"/>
    <d v="2025-02-23T00:00:00"/>
    <x v="3"/>
    <x v="2"/>
    <x v="0"/>
    <x v="0"/>
    <x v="9"/>
    <x v="1"/>
    <x v="7"/>
    <x v="3"/>
  </r>
  <r>
    <x v="1350"/>
    <x v="2"/>
    <x v="2"/>
    <n v="77.900000000000006"/>
    <n v="233.70000000000002"/>
    <x v="51"/>
    <d v="2025-02-25T00:00:00"/>
    <x v="2"/>
    <x v="1"/>
    <x v="2"/>
    <x v="0"/>
    <x v="19"/>
    <x v="5"/>
    <x v="7"/>
    <x v="2"/>
  </r>
  <r>
    <x v="1351"/>
    <x v="18"/>
    <x v="12"/>
    <n v="37.1"/>
    <n v="148.4"/>
    <x v="51"/>
    <d v="2025-02-23T00:00:00"/>
    <x v="1"/>
    <x v="4"/>
    <x v="2"/>
    <x v="0"/>
    <x v="19"/>
    <x v="1"/>
    <x v="7"/>
    <x v="1"/>
  </r>
  <r>
    <x v="1352"/>
    <x v="16"/>
    <x v="2"/>
    <n v="51.6"/>
    <n v="154.80000000000001"/>
    <x v="51"/>
    <d v="2025-03-01T00:00:00"/>
    <x v="2"/>
    <x v="0"/>
    <x v="4"/>
    <x v="0"/>
    <x v="19"/>
    <x v="9"/>
    <x v="7"/>
    <x v="2"/>
  </r>
  <r>
    <x v="1353"/>
    <x v="7"/>
    <x v="2"/>
    <n v="98"/>
    <n v="294"/>
    <x v="51"/>
    <d v="2025-02-22T00:00:00"/>
    <x v="1"/>
    <x v="1"/>
    <x v="1"/>
    <x v="0"/>
    <x v="19"/>
    <x v="3"/>
    <x v="7"/>
    <x v="1"/>
  </r>
  <r>
    <x v="1354"/>
    <x v="6"/>
    <x v="3"/>
    <n v="41.4"/>
    <n v="289.8"/>
    <x v="51"/>
    <d v="2025-02-22T00:00:00"/>
    <x v="1"/>
    <x v="1"/>
    <x v="0"/>
    <x v="0"/>
    <x v="20"/>
    <x v="3"/>
    <x v="7"/>
    <x v="1"/>
  </r>
  <r>
    <x v="1355"/>
    <x v="11"/>
    <x v="8"/>
    <n v="34"/>
    <n v="272"/>
    <x v="51"/>
    <d v="2025-02-26T00:00:00"/>
    <x v="2"/>
    <x v="0"/>
    <x v="2"/>
    <x v="0"/>
    <x v="52"/>
    <x v="0"/>
    <x v="7"/>
    <x v="2"/>
  </r>
  <r>
    <x v="1356"/>
    <x v="6"/>
    <x v="0"/>
    <n v="66.3"/>
    <n v="66.3"/>
    <x v="51"/>
    <d v="2025-02-22T00:00:00"/>
    <x v="2"/>
    <x v="1"/>
    <x v="0"/>
    <x v="0"/>
    <x v="13"/>
    <x v="3"/>
    <x v="7"/>
    <x v="2"/>
  </r>
  <r>
    <x v="1357"/>
    <x v="7"/>
    <x v="0"/>
    <n v="33.5"/>
    <n v="33.5"/>
    <x v="51"/>
    <d v="2025-02-25T00:00:00"/>
    <x v="1"/>
    <x v="2"/>
    <x v="0"/>
    <x v="0"/>
    <x v="13"/>
    <x v="5"/>
    <x v="7"/>
    <x v="1"/>
  </r>
  <r>
    <x v="1358"/>
    <x v="12"/>
    <x v="1"/>
    <n v="70.8"/>
    <n v="141.6"/>
    <x v="51"/>
    <d v="2025-02-22T00:00:00"/>
    <x v="0"/>
    <x v="0"/>
    <x v="0"/>
    <x v="0"/>
    <x v="28"/>
    <x v="3"/>
    <x v="7"/>
    <x v="0"/>
  </r>
  <r>
    <x v="1359"/>
    <x v="6"/>
    <x v="1"/>
    <n v="127.6"/>
    <n v="255.2"/>
    <x v="51"/>
    <d v="2025-02-22T00:00:00"/>
    <x v="1"/>
    <x v="0"/>
    <x v="0"/>
    <x v="0"/>
    <x v="21"/>
    <x v="3"/>
    <x v="7"/>
    <x v="1"/>
  </r>
  <r>
    <x v="1360"/>
    <x v="6"/>
    <x v="2"/>
    <n v="95.9"/>
    <n v="287.70000000000005"/>
    <x v="51"/>
    <d v="2025-02-22T00:00:00"/>
    <x v="2"/>
    <x v="1"/>
    <x v="1"/>
    <x v="0"/>
    <x v="21"/>
    <x v="3"/>
    <x v="7"/>
    <x v="2"/>
  </r>
  <r>
    <x v="1361"/>
    <x v="2"/>
    <x v="1"/>
    <n v="78.099999999999994"/>
    <n v="156.19999999999999"/>
    <x v="51"/>
    <d v="2025-02-22T00:00:00"/>
    <x v="1"/>
    <x v="0"/>
    <x v="0"/>
    <x v="0"/>
    <x v="1"/>
    <x v="3"/>
    <x v="7"/>
    <x v="1"/>
  </r>
  <r>
    <x v="1362"/>
    <x v="13"/>
    <x v="1"/>
    <n v="43.2"/>
    <n v="86.4"/>
    <x v="51"/>
    <d v="2025-02-22T00:00:00"/>
    <x v="0"/>
    <x v="1"/>
    <x v="1"/>
    <x v="0"/>
    <x v="1"/>
    <x v="3"/>
    <x v="7"/>
    <x v="0"/>
  </r>
  <r>
    <x v="1363"/>
    <x v="8"/>
    <x v="12"/>
    <n v="28.4"/>
    <n v="113.6"/>
    <x v="51"/>
    <d v="2025-02-27T00:00:00"/>
    <x v="1"/>
    <x v="2"/>
    <x v="0"/>
    <x v="0"/>
    <x v="3"/>
    <x v="4"/>
    <x v="7"/>
    <x v="1"/>
  </r>
  <r>
    <x v="1364"/>
    <x v="2"/>
    <x v="1"/>
    <n v="81.7"/>
    <n v="163.4"/>
    <x v="51"/>
    <d v="2025-02-21T00:00:00"/>
    <x v="1"/>
    <x v="0"/>
    <x v="0"/>
    <x v="0"/>
    <x v="3"/>
    <x v="7"/>
    <x v="7"/>
    <x v="1"/>
  </r>
  <r>
    <x v="1365"/>
    <x v="18"/>
    <x v="1"/>
    <n v="56.7"/>
    <n v="113.4"/>
    <x v="51"/>
    <d v="2025-02-23T00:00:00"/>
    <x v="0"/>
    <x v="0"/>
    <x v="2"/>
    <x v="0"/>
    <x v="3"/>
    <x v="1"/>
    <x v="7"/>
    <x v="0"/>
  </r>
  <r>
    <x v="1366"/>
    <x v="3"/>
    <x v="12"/>
    <n v="66.5"/>
    <n v="266"/>
    <x v="51"/>
    <d v="2025-02-21T00:00:00"/>
    <x v="2"/>
    <x v="0"/>
    <x v="2"/>
    <x v="0"/>
    <x v="3"/>
    <x v="7"/>
    <x v="7"/>
    <x v="2"/>
  </r>
  <r>
    <x v="1367"/>
    <x v="1"/>
    <x v="1"/>
    <n v="105.3"/>
    <n v="210.6"/>
    <x v="51"/>
    <d v="2025-02-25T00:00:00"/>
    <x v="1"/>
    <x v="0"/>
    <x v="1"/>
    <x v="0"/>
    <x v="3"/>
    <x v="5"/>
    <x v="7"/>
    <x v="1"/>
  </r>
  <r>
    <x v="1368"/>
    <x v="10"/>
    <x v="9"/>
    <n v="33.799999999999997"/>
    <n v="169"/>
    <x v="51"/>
    <d v="2025-02-26T00:00:00"/>
    <x v="1"/>
    <x v="0"/>
    <x v="0"/>
    <x v="0"/>
    <x v="3"/>
    <x v="0"/>
    <x v="7"/>
    <x v="1"/>
  </r>
  <r>
    <x v="1369"/>
    <x v="6"/>
    <x v="2"/>
    <n v="63.4"/>
    <n v="190.2"/>
    <x v="51"/>
    <d v="2025-02-26T00:00:00"/>
    <x v="1"/>
    <x v="3"/>
    <x v="1"/>
    <x v="0"/>
    <x v="24"/>
    <x v="0"/>
    <x v="7"/>
    <x v="1"/>
  </r>
  <r>
    <x v="1370"/>
    <x v="6"/>
    <x v="2"/>
    <n v="49"/>
    <n v="147"/>
    <x v="51"/>
    <d v="2025-02-25T00:00:00"/>
    <x v="1"/>
    <x v="3"/>
    <x v="0"/>
    <x v="0"/>
    <x v="49"/>
    <x v="5"/>
    <x v="7"/>
    <x v="1"/>
  </r>
  <r>
    <x v="1371"/>
    <x v="1"/>
    <x v="1"/>
    <n v="40"/>
    <n v="80"/>
    <x v="51"/>
    <d v="2025-02-22T00:00:00"/>
    <x v="2"/>
    <x v="4"/>
    <x v="1"/>
    <x v="0"/>
    <x v="23"/>
    <x v="3"/>
    <x v="7"/>
    <x v="2"/>
  </r>
  <r>
    <x v="1372"/>
    <x v="6"/>
    <x v="12"/>
    <n v="86.3"/>
    <n v="345.2"/>
    <x v="51"/>
    <d v="2025-02-22T00:00:00"/>
    <x v="3"/>
    <x v="0"/>
    <x v="0"/>
    <x v="0"/>
    <x v="6"/>
    <x v="3"/>
    <x v="7"/>
    <x v="3"/>
  </r>
  <r>
    <x v="1373"/>
    <x v="6"/>
    <x v="0"/>
    <n v="51.6"/>
    <n v="51.6"/>
    <x v="51"/>
    <d v="2025-02-23T00:00:00"/>
    <x v="2"/>
    <x v="2"/>
    <x v="2"/>
    <x v="0"/>
    <x v="6"/>
    <x v="1"/>
    <x v="7"/>
    <x v="2"/>
  </r>
  <r>
    <x v="1374"/>
    <x v="10"/>
    <x v="2"/>
    <n v="26.7"/>
    <n v="80.099999999999994"/>
    <x v="51"/>
    <d v="2025-02-26T00:00:00"/>
    <x v="2"/>
    <x v="2"/>
    <x v="1"/>
    <x v="0"/>
    <x v="6"/>
    <x v="0"/>
    <x v="7"/>
    <x v="2"/>
  </r>
  <r>
    <x v="1375"/>
    <x v="18"/>
    <x v="1"/>
    <n v="68.099999999999994"/>
    <n v="136.19999999999999"/>
    <x v="51"/>
    <d v="2025-02-22T00:00:00"/>
    <x v="1"/>
    <x v="0"/>
    <x v="1"/>
    <x v="0"/>
    <x v="6"/>
    <x v="3"/>
    <x v="7"/>
    <x v="1"/>
  </r>
  <r>
    <x v="1376"/>
    <x v="1"/>
    <x v="0"/>
    <n v="81.7"/>
    <n v="81.7"/>
    <x v="51"/>
    <d v="2025-02-22T00:00:00"/>
    <x v="1"/>
    <x v="0"/>
    <x v="0"/>
    <x v="0"/>
    <x v="7"/>
    <x v="3"/>
    <x v="7"/>
    <x v="1"/>
  </r>
  <r>
    <x v="1377"/>
    <x v="18"/>
    <x v="7"/>
    <n v="25.1"/>
    <n v="251"/>
    <x v="51"/>
    <d v="2025-02-24T00:00:00"/>
    <x v="1"/>
    <x v="3"/>
    <x v="1"/>
    <x v="0"/>
    <x v="8"/>
    <x v="2"/>
    <x v="7"/>
    <x v="1"/>
  </r>
  <r>
    <x v="1378"/>
    <x v="8"/>
    <x v="0"/>
    <n v="20.2"/>
    <n v="20.2"/>
    <x v="51"/>
    <d v="2025-02-25T00:00:00"/>
    <x v="2"/>
    <x v="0"/>
    <x v="0"/>
    <x v="0"/>
    <x v="8"/>
    <x v="5"/>
    <x v="7"/>
    <x v="2"/>
  </r>
  <r>
    <x v="1379"/>
    <x v="8"/>
    <x v="2"/>
    <n v="15.4"/>
    <n v="46.2"/>
    <x v="51"/>
    <d v="2025-02-22T00:00:00"/>
    <x v="1"/>
    <x v="1"/>
    <x v="2"/>
    <x v="0"/>
    <x v="8"/>
    <x v="3"/>
    <x v="7"/>
    <x v="1"/>
  </r>
  <r>
    <x v="1380"/>
    <x v="10"/>
    <x v="0"/>
    <n v="59.2"/>
    <n v="59.2"/>
    <x v="51"/>
    <d v="2025-02-22T00:00:00"/>
    <x v="1"/>
    <x v="2"/>
    <x v="2"/>
    <x v="0"/>
    <x v="17"/>
    <x v="3"/>
    <x v="7"/>
    <x v="1"/>
  </r>
  <r>
    <x v="1381"/>
    <x v="0"/>
    <x v="0"/>
    <n v="46.7"/>
    <n v="46.7"/>
    <x v="51"/>
    <d v="2025-02-26T00:00:00"/>
    <x v="1"/>
    <x v="0"/>
    <x v="0"/>
    <x v="0"/>
    <x v="17"/>
    <x v="0"/>
    <x v="7"/>
    <x v="1"/>
  </r>
  <r>
    <x v="1382"/>
    <x v="6"/>
    <x v="20"/>
    <n v="41.6"/>
    <n v="624"/>
    <x v="51"/>
    <d v="2025-02-23T00:00:00"/>
    <x v="1"/>
    <x v="1"/>
    <x v="0"/>
    <x v="0"/>
    <x v="26"/>
    <x v="1"/>
    <x v="7"/>
    <x v="1"/>
  </r>
  <r>
    <x v="1383"/>
    <x v="8"/>
    <x v="1"/>
    <n v="19.2"/>
    <n v="38.4"/>
    <x v="51"/>
    <d v="2025-02-24T00:00:00"/>
    <x v="1"/>
    <x v="4"/>
    <x v="2"/>
    <x v="0"/>
    <x v="9"/>
    <x v="2"/>
    <x v="7"/>
    <x v="1"/>
  </r>
  <r>
    <x v="1384"/>
    <x v="17"/>
    <x v="3"/>
    <n v="41.8"/>
    <n v="292.59999999999997"/>
    <x v="51"/>
    <d v="2025-02-23T00:00:00"/>
    <x v="2"/>
    <x v="2"/>
    <x v="0"/>
    <x v="0"/>
    <x v="11"/>
    <x v="1"/>
    <x v="7"/>
    <x v="2"/>
  </r>
  <r>
    <x v="1385"/>
    <x v="8"/>
    <x v="13"/>
    <n v="37.4"/>
    <n v="224.39999999999998"/>
    <x v="51"/>
    <d v="2025-02-23T00:00:00"/>
    <x v="1"/>
    <x v="0"/>
    <x v="2"/>
    <x v="0"/>
    <x v="11"/>
    <x v="1"/>
    <x v="7"/>
    <x v="1"/>
  </r>
  <r>
    <x v="1386"/>
    <x v="10"/>
    <x v="2"/>
    <n v="60.2"/>
    <n v="180.60000000000002"/>
    <x v="51"/>
    <d v="2025-02-24T00:00:00"/>
    <x v="1"/>
    <x v="4"/>
    <x v="1"/>
    <x v="0"/>
    <x v="38"/>
    <x v="2"/>
    <x v="7"/>
    <x v="1"/>
  </r>
  <r>
    <x v="1387"/>
    <x v="9"/>
    <x v="1"/>
    <n v="91.5"/>
    <n v="183"/>
    <x v="52"/>
    <d v="2025-02-23T00:00:00"/>
    <x v="1"/>
    <x v="0"/>
    <x v="0"/>
    <x v="0"/>
    <x v="13"/>
    <x v="3"/>
    <x v="7"/>
    <x v="1"/>
  </r>
  <r>
    <x v="1388"/>
    <x v="3"/>
    <x v="9"/>
    <n v="55.7"/>
    <n v="278.5"/>
    <x v="52"/>
    <d v="2025-02-24T00:00:00"/>
    <x v="0"/>
    <x v="1"/>
    <x v="2"/>
    <x v="0"/>
    <x v="21"/>
    <x v="1"/>
    <x v="7"/>
    <x v="0"/>
  </r>
  <r>
    <x v="1389"/>
    <x v="7"/>
    <x v="1"/>
    <n v="76.7"/>
    <n v="153.4"/>
    <x v="52"/>
    <d v="2025-02-24T00:00:00"/>
    <x v="1"/>
    <x v="0"/>
    <x v="1"/>
    <x v="0"/>
    <x v="21"/>
    <x v="1"/>
    <x v="7"/>
    <x v="1"/>
  </r>
  <r>
    <x v="1390"/>
    <x v="8"/>
    <x v="38"/>
    <n v="28.2"/>
    <n v="592.19999999999993"/>
    <x v="52"/>
    <d v="2025-02-27T00:00:00"/>
    <x v="1"/>
    <x v="2"/>
    <x v="0"/>
    <x v="0"/>
    <x v="1"/>
    <x v="0"/>
    <x v="7"/>
    <x v="1"/>
  </r>
  <r>
    <x v="1391"/>
    <x v="7"/>
    <x v="9"/>
    <n v="93.2"/>
    <n v="466"/>
    <x v="52"/>
    <d v="2025-02-24T00:00:00"/>
    <x v="2"/>
    <x v="4"/>
    <x v="2"/>
    <x v="0"/>
    <x v="1"/>
    <x v="1"/>
    <x v="7"/>
    <x v="2"/>
  </r>
  <r>
    <x v="1392"/>
    <x v="17"/>
    <x v="0"/>
    <n v="33.299999999999997"/>
    <n v="33.299999999999997"/>
    <x v="52"/>
    <d v="2025-02-23T00:00:00"/>
    <x v="1"/>
    <x v="4"/>
    <x v="0"/>
    <x v="0"/>
    <x v="2"/>
    <x v="3"/>
    <x v="7"/>
    <x v="1"/>
  </r>
  <r>
    <x v="1393"/>
    <x v="10"/>
    <x v="1"/>
    <n v="39.1"/>
    <n v="78.2"/>
    <x v="52"/>
    <d v="2025-02-25T00:00:00"/>
    <x v="1"/>
    <x v="0"/>
    <x v="0"/>
    <x v="0"/>
    <x v="44"/>
    <x v="2"/>
    <x v="7"/>
    <x v="1"/>
  </r>
  <r>
    <x v="1394"/>
    <x v="7"/>
    <x v="4"/>
    <n v="45.3"/>
    <n v="543.59999999999991"/>
    <x v="52"/>
    <d v="2025-02-23T00:00:00"/>
    <x v="1"/>
    <x v="2"/>
    <x v="0"/>
    <x v="0"/>
    <x v="33"/>
    <x v="3"/>
    <x v="7"/>
    <x v="1"/>
  </r>
  <r>
    <x v="1395"/>
    <x v="9"/>
    <x v="3"/>
    <n v="33.9"/>
    <n v="237.29999999999998"/>
    <x v="52"/>
    <d v="2025-02-23T00:00:00"/>
    <x v="1"/>
    <x v="4"/>
    <x v="0"/>
    <x v="0"/>
    <x v="33"/>
    <x v="3"/>
    <x v="7"/>
    <x v="1"/>
  </r>
  <r>
    <x v="1396"/>
    <x v="8"/>
    <x v="2"/>
    <n v="19"/>
    <n v="57"/>
    <x v="52"/>
    <d v="2025-02-23T00:00:00"/>
    <x v="1"/>
    <x v="0"/>
    <x v="2"/>
    <x v="0"/>
    <x v="15"/>
    <x v="3"/>
    <x v="7"/>
    <x v="1"/>
  </r>
  <r>
    <x v="1397"/>
    <x v="4"/>
    <x v="0"/>
    <n v="41.9"/>
    <n v="41.9"/>
    <x v="52"/>
    <d v="2025-02-25T00:00:00"/>
    <x v="2"/>
    <x v="2"/>
    <x v="0"/>
    <x v="0"/>
    <x v="22"/>
    <x v="2"/>
    <x v="7"/>
    <x v="2"/>
  </r>
  <r>
    <x v="1398"/>
    <x v="1"/>
    <x v="12"/>
    <n v="37.5"/>
    <n v="150"/>
    <x v="52"/>
    <d v="2025-02-22T00:00:00"/>
    <x v="2"/>
    <x v="0"/>
    <x v="0"/>
    <x v="0"/>
    <x v="3"/>
    <x v="7"/>
    <x v="7"/>
    <x v="2"/>
  </r>
  <r>
    <x v="1399"/>
    <x v="0"/>
    <x v="1"/>
    <n v="40.799999999999997"/>
    <n v="81.599999999999994"/>
    <x v="52"/>
    <d v="2025-02-25T00:00:00"/>
    <x v="1"/>
    <x v="0"/>
    <x v="0"/>
    <x v="0"/>
    <x v="3"/>
    <x v="2"/>
    <x v="7"/>
    <x v="1"/>
  </r>
  <r>
    <x v="1400"/>
    <x v="0"/>
    <x v="12"/>
    <n v="23.1"/>
    <n v="92.4"/>
    <x v="52"/>
    <d v="2025-02-23T00:00:00"/>
    <x v="2"/>
    <x v="4"/>
    <x v="0"/>
    <x v="0"/>
    <x v="3"/>
    <x v="3"/>
    <x v="7"/>
    <x v="2"/>
  </r>
  <r>
    <x v="1401"/>
    <x v="8"/>
    <x v="9"/>
    <n v="39.299999999999997"/>
    <n v="196.5"/>
    <x v="52"/>
    <d v="2025-02-23T00:00:00"/>
    <x v="2"/>
    <x v="0"/>
    <x v="0"/>
    <x v="0"/>
    <x v="3"/>
    <x v="3"/>
    <x v="7"/>
    <x v="2"/>
  </r>
  <r>
    <x v="1402"/>
    <x v="2"/>
    <x v="12"/>
    <n v="85.2"/>
    <n v="340.8"/>
    <x v="52"/>
    <d v="2025-02-27T00:00:00"/>
    <x v="1"/>
    <x v="2"/>
    <x v="0"/>
    <x v="0"/>
    <x v="3"/>
    <x v="0"/>
    <x v="7"/>
    <x v="1"/>
  </r>
  <r>
    <x v="1403"/>
    <x v="8"/>
    <x v="13"/>
    <n v="16"/>
    <n v="96"/>
    <x v="52"/>
    <d v="2025-02-25T00:00:00"/>
    <x v="1"/>
    <x v="1"/>
    <x v="0"/>
    <x v="0"/>
    <x v="3"/>
    <x v="2"/>
    <x v="7"/>
    <x v="1"/>
  </r>
  <r>
    <x v="1404"/>
    <x v="1"/>
    <x v="1"/>
    <n v="33.799999999999997"/>
    <n v="67.599999999999994"/>
    <x v="52"/>
    <d v="2025-02-26T00:00:00"/>
    <x v="2"/>
    <x v="1"/>
    <x v="0"/>
    <x v="0"/>
    <x v="3"/>
    <x v="5"/>
    <x v="7"/>
    <x v="2"/>
  </r>
  <r>
    <x v="1405"/>
    <x v="3"/>
    <x v="0"/>
    <n v="70"/>
    <n v="70"/>
    <x v="52"/>
    <d v="2025-02-23T00:00:00"/>
    <x v="2"/>
    <x v="0"/>
    <x v="0"/>
    <x v="0"/>
    <x v="3"/>
    <x v="3"/>
    <x v="7"/>
    <x v="2"/>
  </r>
  <r>
    <x v="1406"/>
    <x v="9"/>
    <x v="0"/>
    <n v="88"/>
    <n v="88"/>
    <x v="52"/>
    <d v="2025-02-27T00:00:00"/>
    <x v="2"/>
    <x v="3"/>
    <x v="0"/>
    <x v="0"/>
    <x v="3"/>
    <x v="0"/>
    <x v="7"/>
    <x v="2"/>
  </r>
  <r>
    <x v="1407"/>
    <x v="2"/>
    <x v="2"/>
    <n v="74.099999999999994"/>
    <n v="222.29999999999998"/>
    <x v="52"/>
    <d v="2025-02-22T00:00:00"/>
    <x v="1"/>
    <x v="4"/>
    <x v="1"/>
    <x v="0"/>
    <x v="3"/>
    <x v="7"/>
    <x v="7"/>
    <x v="1"/>
  </r>
  <r>
    <x v="1408"/>
    <x v="2"/>
    <x v="0"/>
    <n v="161.9"/>
    <n v="161.9"/>
    <x v="52"/>
    <d v="2025-02-24T00:00:00"/>
    <x v="1"/>
    <x v="2"/>
    <x v="0"/>
    <x v="0"/>
    <x v="3"/>
    <x v="1"/>
    <x v="7"/>
    <x v="1"/>
  </r>
  <r>
    <x v="1409"/>
    <x v="4"/>
    <x v="1"/>
    <n v="44"/>
    <n v="88"/>
    <x v="52"/>
    <d v="2025-02-23T00:00:00"/>
    <x v="3"/>
    <x v="4"/>
    <x v="1"/>
    <x v="0"/>
    <x v="3"/>
    <x v="3"/>
    <x v="7"/>
    <x v="3"/>
  </r>
  <r>
    <x v="1410"/>
    <x v="11"/>
    <x v="0"/>
    <n v="32.1"/>
    <n v="32.1"/>
    <x v="52"/>
    <d v="2025-02-22T00:00:00"/>
    <x v="2"/>
    <x v="3"/>
    <x v="3"/>
    <x v="0"/>
    <x v="3"/>
    <x v="7"/>
    <x v="7"/>
    <x v="2"/>
  </r>
  <r>
    <x v="1411"/>
    <x v="2"/>
    <x v="12"/>
    <n v="104.8"/>
    <n v="419.2"/>
    <x v="53"/>
    <d v="2025-02-25T00:00:00"/>
    <x v="3"/>
    <x v="0"/>
    <x v="0"/>
    <x v="0"/>
    <x v="3"/>
    <x v="1"/>
    <x v="8"/>
    <x v="3"/>
  </r>
  <r>
    <x v="1412"/>
    <x v="9"/>
    <x v="13"/>
    <n v="67.400000000000006"/>
    <n v="404.40000000000003"/>
    <x v="53"/>
    <d v="2025-02-24T00:00:00"/>
    <x v="2"/>
    <x v="3"/>
    <x v="0"/>
    <x v="0"/>
    <x v="3"/>
    <x v="3"/>
    <x v="8"/>
    <x v="2"/>
  </r>
  <r>
    <x v="1413"/>
    <x v="6"/>
    <x v="1"/>
    <n v="115.2"/>
    <n v="230.4"/>
    <x v="53"/>
    <d v="2025-02-24T00:00:00"/>
    <x v="2"/>
    <x v="1"/>
    <x v="0"/>
    <x v="0"/>
    <x v="4"/>
    <x v="3"/>
    <x v="8"/>
    <x v="2"/>
  </r>
  <r>
    <x v="1414"/>
    <x v="8"/>
    <x v="19"/>
    <n v="15.5"/>
    <n v="449.5"/>
    <x v="53"/>
    <d v="2025-02-25T00:00:00"/>
    <x v="2"/>
    <x v="0"/>
    <x v="1"/>
    <x v="0"/>
    <x v="23"/>
    <x v="1"/>
    <x v="8"/>
    <x v="2"/>
  </r>
  <r>
    <x v="1415"/>
    <x v="6"/>
    <x v="5"/>
    <n v="66.400000000000006"/>
    <n v="730.40000000000009"/>
    <x v="53"/>
    <d v="2025-02-25T00:00:00"/>
    <x v="2"/>
    <x v="0"/>
    <x v="0"/>
    <x v="0"/>
    <x v="6"/>
    <x v="1"/>
    <x v="8"/>
    <x v="2"/>
  </r>
  <r>
    <x v="1416"/>
    <x v="9"/>
    <x v="4"/>
    <n v="68.099999999999994"/>
    <n v="817.19999999999993"/>
    <x v="53"/>
    <d v="2025-02-24T00:00:00"/>
    <x v="2"/>
    <x v="2"/>
    <x v="0"/>
    <x v="0"/>
    <x v="8"/>
    <x v="3"/>
    <x v="8"/>
    <x v="2"/>
  </r>
  <r>
    <x v="1417"/>
    <x v="8"/>
    <x v="9"/>
    <n v="32.5"/>
    <n v="162.5"/>
    <x v="53"/>
    <d v="2025-02-27T00:00:00"/>
    <x v="1"/>
    <x v="2"/>
    <x v="1"/>
    <x v="0"/>
    <x v="8"/>
    <x v="5"/>
    <x v="8"/>
    <x v="1"/>
  </r>
  <r>
    <x v="1418"/>
    <x v="15"/>
    <x v="2"/>
    <n v="61.2"/>
    <n v="183.60000000000002"/>
    <x v="53"/>
    <d v="2025-02-25T00:00:00"/>
    <x v="2"/>
    <x v="1"/>
    <x v="1"/>
    <x v="0"/>
    <x v="8"/>
    <x v="1"/>
    <x v="8"/>
    <x v="2"/>
  </r>
  <r>
    <x v="1419"/>
    <x v="9"/>
    <x v="1"/>
    <n v="54.2"/>
    <n v="108.4"/>
    <x v="53"/>
    <d v="2025-02-24T00:00:00"/>
    <x v="2"/>
    <x v="1"/>
    <x v="0"/>
    <x v="0"/>
    <x v="8"/>
    <x v="3"/>
    <x v="8"/>
    <x v="2"/>
  </r>
  <r>
    <x v="1420"/>
    <x v="11"/>
    <x v="8"/>
    <n v="28.7"/>
    <n v="229.6"/>
    <x v="53"/>
    <d v="2025-02-25T00:00:00"/>
    <x v="1"/>
    <x v="1"/>
    <x v="0"/>
    <x v="0"/>
    <x v="9"/>
    <x v="1"/>
    <x v="8"/>
    <x v="1"/>
  </r>
  <r>
    <x v="1421"/>
    <x v="12"/>
    <x v="13"/>
    <n v="38.200000000000003"/>
    <n v="229.20000000000002"/>
    <x v="53"/>
    <d v="2025-02-27T00:00:00"/>
    <x v="2"/>
    <x v="0"/>
    <x v="1"/>
    <x v="0"/>
    <x v="9"/>
    <x v="5"/>
    <x v="8"/>
    <x v="2"/>
  </r>
  <r>
    <x v="1422"/>
    <x v="8"/>
    <x v="4"/>
    <n v="17.600000000000001"/>
    <n v="211.20000000000002"/>
    <x v="53"/>
    <d v="2025-02-24T00:00:00"/>
    <x v="2"/>
    <x v="2"/>
    <x v="1"/>
    <x v="0"/>
    <x v="9"/>
    <x v="3"/>
    <x v="8"/>
    <x v="2"/>
  </r>
  <r>
    <x v="1423"/>
    <x v="10"/>
    <x v="2"/>
    <n v="74.599999999999994"/>
    <n v="223.79999999999998"/>
    <x v="53"/>
    <d v="2025-02-23T00:00:00"/>
    <x v="2"/>
    <x v="2"/>
    <x v="0"/>
    <x v="0"/>
    <x v="11"/>
    <x v="7"/>
    <x v="8"/>
    <x v="2"/>
  </r>
  <r>
    <x v="1424"/>
    <x v="16"/>
    <x v="20"/>
    <n v="72.599999999999994"/>
    <n v="1089"/>
    <x v="53"/>
    <d v="2025-02-23T00:00:00"/>
    <x v="0"/>
    <x v="1"/>
    <x v="1"/>
    <x v="0"/>
    <x v="11"/>
    <x v="7"/>
    <x v="8"/>
    <x v="0"/>
  </r>
  <r>
    <x v="1425"/>
    <x v="7"/>
    <x v="0"/>
    <n v="62.3"/>
    <n v="62.3"/>
    <x v="53"/>
    <d v="2025-02-24T00:00:00"/>
    <x v="2"/>
    <x v="1"/>
    <x v="0"/>
    <x v="0"/>
    <x v="11"/>
    <x v="3"/>
    <x v="8"/>
    <x v="2"/>
  </r>
  <r>
    <x v="1426"/>
    <x v="3"/>
    <x v="2"/>
    <n v="33.799999999999997"/>
    <n v="101.39999999999999"/>
    <x v="53"/>
    <d v="2025-02-25T00:00:00"/>
    <x v="1"/>
    <x v="0"/>
    <x v="2"/>
    <x v="0"/>
    <x v="20"/>
    <x v="1"/>
    <x v="8"/>
    <x v="1"/>
  </r>
  <r>
    <x v="1427"/>
    <x v="9"/>
    <x v="0"/>
    <n v="85.7"/>
    <n v="85.7"/>
    <x v="53"/>
    <d v="2025-02-26T00:00:00"/>
    <x v="1"/>
    <x v="3"/>
    <x v="1"/>
    <x v="0"/>
    <x v="21"/>
    <x v="2"/>
    <x v="8"/>
    <x v="1"/>
  </r>
  <r>
    <x v="1428"/>
    <x v="6"/>
    <x v="1"/>
    <n v="92.1"/>
    <n v="184.2"/>
    <x v="53"/>
    <d v="2025-02-25T00:00:00"/>
    <x v="1"/>
    <x v="1"/>
    <x v="0"/>
    <x v="0"/>
    <x v="21"/>
    <x v="1"/>
    <x v="8"/>
    <x v="1"/>
  </r>
  <r>
    <x v="1429"/>
    <x v="16"/>
    <x v="2"/>
    <n v="65.099999999999994"/>
    <n v="195.29999999999998"/>
    <x v="53"/>
    <d v="2025-02-26T00:00:00"/>
    <x v="1"/>
    <x v="0"/>
    <x v="0"/>
    <x v="0"/>
    <x v="1"/>
    <x v="2"/>
    <x v="8"/>
    <x v="1"/>
  </r>
  <r>
    <x v="1430"/>
    <x v="9"/>
    <x v="3"/>
    <n v="20.3"/>
    <n v="142.1"/>
    <x v="53"/>
    <d v="2025-02-24T00:00:00"/>
    <x v="2"/>
    <x v="2"/>
    <x v="2"/>
    <x v="0"/>
    <x v="2"/>
    <x v="3"/>
    <x v="8"/>
    <x v="2"/>
  </r>
  <r>
    <x v="1431"/>
    <x v="19"/>
    <x v="1"/>
    <n v="29.8"/>
    <n v="59.6"/>
    <x v="53"/>
    <d v="2025-02-25T00:00:00"/>
    <x v="2"/>
    <x v="1"/>
    <x v="2"/>
    <x v="0"/>
    <x v="34"/>
    <x v="1"/>
    <x v="8"/>
    <x v="2"/>
  </r>
  <r>
    <x v="1432"/>
    <x v="0"/>
    <x v="1"/>
    <n v="24.2"/>
    <n v="48.4"/>
    <x v="53"/>
    <d v="2025-02-25T00:00:00"/>
    <x v="2"/>
    <x v="3"/>
    <x v="2"/>
    <x v="0"/>
    <x v="3"/>
    <x v="1"/>
    <x v="8"/>
    <x v="2"/>
  </r>
  <r>
    <x v="1433"/>
    <x v="3"/>
    <x v="0"/>
    <n v="57.3"/>
    <n v="57.3"/>
    <x v="53"/>
    <d v="2025-02-25T00:00:00"/>
    <x v="1"/>
    <x v="0"/>
    <x v="0"/>
    <x v="0"/>
    <x v="3"/>
    <x v="1"/>
    <x v="8"/>
    <x v="1"/>
  </r>
  <r>
    <x v="1434"/>
    <x v="2"/>
    <x v="0"/>
    <n v="108.9"/>
    <n v="108.9"/>
    <x v="53"/>
    <d v="2025-02-25T00:00:00"/>
    <x v="2"/>
    <x v="1"/>
    <x v="0"/>
    <x v="0"/>
    <x v="3"/>
    <x v="1"/>
    <x v="8"/>
    <x v="2"/>
  </r>
  <r>
    <x v="1435"/>
    <x v="7"/>
    <x v="9"/>
    <n v="50.7"/>
    <n v="253.5"/>
    <x v="53"/>
    <d v="2025-02-24T00:00:00"/>
    <x v="2"/>
    <x v="0"/>
    <x v="0"/>
    <x v="0"/>
    <x v="3"/>
    <x v="3"/>
    <x v="8"/>
    <x v="2"/>
  </r>
  <r>
    <x v="1436"/>
    <x v="7"/>
    <x v="11"/>
    <n v="66.099999999999994"/>
    <n v="594.9"/>
    <x v="53"/>
    <d v="2025-03-09T00:00:00"/>
    <x v="2"/>
    <x v="1"/>
    <x v="0"/>
    <x v="0"/>
    <x v="3"/>
    <x v="12"/>
    <x v="8"/>
    <x v="2"/>
  </r>
  <r>
    <x v="1437"/>
    <x v="12"/>
    <x v="9"/>
    <n v="36.700000000000003"/>
    <n v="183.5"/>
    <x v="53"/>
    <d v="2025-02-27T00:00:00"/>
    <x v="2"/>
    <x v="4"/>
    <x v="0"/>
    <x v="0"/>
    <x v="3"/>
    <x v="5"/>
    <x v="8"/>
    <x v="2"/>
  </r>
  <r>
    <x v="1438"/>
    <x v="8"/>
    <x v="14"/>
    <n v="19.3"/>
    <n v="328.1"/>
    <x v="53"/>
    <d v="2025-02-25T00:00:00"/>
    <x v="1"/>
    <x v="0"/>
    <x v="0"/>
    <x v="0"/>
    <x v="43"/>
    <x v="1"/>
    <x v="8"/>
    <x v="1"/>
  </r>
  <r>
    <x v="1439"/>
    <x v="8"/>
    <x v="12"/>
    <n v="20.7"/>
    <n v="82.8"/>
    <x v="53"/>
    <d v="2025-02-24T00:00:00"/>
    <x v="1"/>
    <x v="1"/>
    <x v="2"/>
    <x v="0"/>
    <x v="6"/>
    <x v="3"/>
    <x v="8"/>
    <x v="1"/>
  </r>
  <r>
    <x v="1440"/>
    <x v="5"/>
    <x v="2"/>
    <n v="54.7"/>
    <n v="164.10000000000002"/>
    <x v="53"/>
    <d v="2025-02-23T00:00:00"/>
    <x v="3"/>
    <x v="1"/>
    <x v="4"/>
    <x v="0"/>
    <x v="6"/>
    <x v="7"/>
    <x v="8"/>
    <x v="3"/>
  </r>
  <r>
    <x v="1441"/>
    <x v="4"/>
    <x v="1"/>
    <n v="19.8"/>
    <n v="39.6"/>
    <x v="53"/>
    <d v="2025-02-27T00:00:00"/>
    <x v="2"/>
    <x v="4"/>
    <x v="1"/>
    <x v="0"/>
    <x v="8"/>
    <x v="5"/>
    <x v="8"/>
    <x v="2"/>
  </r>
  <r>
    <x v="1442"/>
    <x v="7"/>
    <x v="0"/>
    <n v="41.1"/>
    <n v="41.1"/>
    <x v="53"/>
    <d v="2025-02-25T00:00:00"/>
    <x v="2"/>
    <x v="0"/>
    <x v="2"/>
    <x v="0"/>
    <x v="8"/>
    <x v="1"/>
    <x v="8"/>
    <x v="2"/>
  </r>
  <r>
    <x v="1443"/>
    <x v="11"/>
    <x v="8"/>
    <n v="43.5"/>
    <n v="348"/>
    <x v="53"/>
    <d v="2025-02-27T00:00:00"/>
    <x v="2"/>
    <x v="3"/>
    <x v="0"/>
    <x v="0"/>
    <x v="8"/>
    <x v="5"/>
    <x v="8"/>
    <x v="2"/>
  </r>
  <r>
    <x v="1444"/>
    <x v="8"/>
    <x v="21"/>
    <n v="19"/>
    <n v="266"/>
    <x v="53"/>
    <d v="2025-02-24T00:00:00"/>
    <x v="1"/>
    <x v="0"/>
    <x v="0"/>
    <x v="0"/>
    <x v="26"/>
    <x v="3"/>
    <x v="8"/>
    <x v="1"/>
  </r>
  <r>
    <x v="1445"/>
    <x v="2"/>
    <x v="12"/>
    <n v="51.4"/>
    <n v="205.6"/>
    <x v="53"/>
    <d v="2025-02-23T00:00:00"/>
    <x v="2"/>
    <x v="0"/>
    <x v="0"/>
    <x v="0"/>
    <x v="26"/>
    <x v="7"/>
    <x v="8"/>
    <x v="2"/>
  </r>
  <r>
    <x v="1446"/>
    <x v="10"/>
    <x v="1"/>
    <n v="39.799999999999997"/>
    <n v="79.599999999999994"/>
    <x v="53"/>
    <d v="2025-02-26T00:00:00"/>
    <x v="1"/>
    <x v="3"/>
    <x v="1"/>
    <x v="0"/>
    <x v="13"/>
    <x v="2"/>
    <x v="8"/>
    <x v="1"/>
  </r>
  <r>
    <x v="1447"/>
    <x v="6"/>
    <x v="9"/>
    <n v="61"/>
    <n v="305"/>
    <x v="53"/>
    <d v="2025-02-24T00:00:00"/>
    <x v="0"/>
    <x v="0"/>
    <x v="2"/>
    <x v="0"/>
    <x v="21"/>
    <x v="3"/>
    <x v="8"/>
    <x v="0"/>
  </r>
  <r>
    <x v="1448"/>
    <x v="8"/>
    <x v="5"/>
    <n v="15.1"/>
    <n v="166.1"/>
    <x v="54"/>
    <d v="2025-03-01T00:00:00"/>
    <x v="1"/>
    <x v="3"/>
    <x v="2"/>
    <x v="0"/>
    <x v="2"/>
    <x v="0"/>
    <x v="8"/>
    <x v="1"/>
  </r>
  <r>
    <x v="1449"/>
    <x v="1"/>
    <x v="3"/>
    <n v="71.3"/>
    <n v="499.09999999999997"/>
    <x v="54"/>
    <d v="2025-02-25T00:00:00"/>
    <x v="1"/>
    <x v="4"/>
    <x v="0"/>
    <x v="0"/>
    <x v="3"/>
    <x v="3"/>
    <x v="8"/>
    <x v="1"/>
  </r>
  <r>
    <x v="1450"/>
    <x v="10"/>
    <x v="0"/>
    <n v="25.8"/>
    <n v="25.8"/>
    <x v="54"/>
    <d v="2025-02-26T00:00:00"/>
    <x v="2"/>
    <x v="0"/>
    <x v="2"/>
    <x v="0"/>
    <x v="3"/>
    <x v="1"/>
    <x v="8"/>
    <x v="2"/>
  </r>
  <r>
    <x v="1451"/>
    <x v="8"/>
    <x v="9"/>
    <n v="39.6"/>
    <n v="198"/>
    <x v="54"/>
    <d v="2025-02-26T00:00:00"/>
    <x v="1"/>
    <x v="1"/>
    <x v="2"/>
    <x v="0"/>
    <x v="3"/>
    <x v="1"/>
    <x v="8"/>
    <x v="1"/>
  </r>
  <r>
    <x v="1452"/>
    <x v="5"/>
    <x v="1"/>
    <n v="64"/>
    <n v="128"/>
    <x v="54"/>
    <d v="2025-02-24T00:00:00"/>
    <x v="1"/>
    <x v="1"/>
    <x v="1"/>
    <x v="0"/>
    <x v="3"/>
    <x v="7"/>
    <x v="8"/>
    <x v="1"/>
  </r>
  <r>
    <x v="1453"/>
    <x v="8"/>
    <x v="1"/>
    <n v="30.6"/>
    <n v="61.2"/>
    <x v="54"/>
    <d v="2025-02-27T00:00:00"/>
    <x v="1"/>
    <x v="0"/>
    <x v="2"/>
    <x v="0"/>
    <x v="3"/>
    <x v="2"/>
    <x v="8"/>
    <x v="1"/>
  </r>
  <r>
    <x v="1454"/>
    <x v="8"/>
    <x v="1"/>
    <n v="21.3"/>
    <n v="42.6"/>
    <x v="54"/>
    <d v="2025-02-25T00:00:00"/>
    <x v="1"/>
    <x v="0"/>
    <x v="1"/>
    <x v="0"/>
    <x v="3"/>
    <x v="3"/>
    <x v="8"/>
    <x v="1"/>
  </r>
  <r>
    <x v="1455"/>
    <x v="7"/>
    <x v="0"/>
    <n v="40.799999999999997"/>
    <n v="40.799999999999997"/>
    <x v="54"/>
    <d v="2025-02-26T00:00:00"/>
    <x v="2"/>
    <x v="4"/>
    <x v="0"/>
    <x v="0"/>
    <x v="3"/>
    <x v="1"/>
    <x v="8"/>
    <x v="2"/>
  </r>
  <r>
    <x v="1456"/>
    <x v="9"/>
    <x v="12"/>
    <n v="27.7"/>
    <n v="110.8"/>
    <x v="54"/>
    <d v="2025-02-25T00:00:00"/>
    <x v="2"/>
    <x v="0"/>
    <x v="1"/>
    <x v="0"/>
    <x v="3"/>
    <x v="3"/>
    <x v="8"/>
    <x v="2"/>
  </r>
  <r>
    <x v="1457"/>
    <x v="6"/>
    <x v="1"/>
    <n v="64.599999999999994"/>
    <n v="129.19999999999999"/>
    <x v="54"/>
    <d v="2025-02-25T00:00:00"/>
    <x v="1"/>
    <x v="0"/>
    <x v="1"/>
    <x v="0"/>
    <x v="3"/>
    <x v="3"/>
    <x v="8"/>
    <x v="1"/>
  </r>
  <r>
    <x v="1458"/>
    <x v="6"/>
    <x v="27"/>
    <n v="91.1"/>
    <n v="1457.6"/>
    <x v="54"/>
    <d v="2025-02-25T00:00:00"/>
    <x v="2"/>
    <x v="1"/>
    <x v="2"/>
    <x v="0"/>
    <x v="3"/>
    <x v="3"/>
    <x v="8"/>
    <x v="2"/>
  </r>
  <r>
    <x v="1459"/>
    <x v="1"/>
    <x v="0"/>
    <n v="39.5"/>
    <n v="39.5"/>
    <x v="54"/>
    <d v="2025-03-04T00:00:00"/>
    <x v="2"/>
    <x v="0"/>
    <x v="0"/>
    <x v="0"/>
    <x v="3"/>
    <x v="9"/>
    <x v="8"/>
    <x v="2"/>
  </r>
  <r>
    <x v="1460"/>
    <x v="9"/>
    <x v="1"/>
    <n v="21.8"/>
    <n v="43.6"/>
    <x v="54"/>
    <d v="2025-02-28T00:00:00"/>
    <x v="1"/>
    <x v="4"/>
    <x v="2"/>
    <x v="0"/>
    <x v="3"/>
    <x v="5"/>
    <x v="8"/>
    <x v="1"/>
  </r>
  <r>
    <x v="1461"/>
    <x v="8"/>
    <x v="1"/>
    <n v="51"/>
    <n v="102"/>
    <x v="54"/>
    <d v="2025-02-27T00:00:00"/>
    <x v="1"/>
    <x v="3"/>
    <x v="2"/>
    <x v="0"/>
    <x v="3"/>
    <x v="2"/>
    <x v="8"/>
    <x v="1"/>
  </r>
  <r>
    <x v="1462"/>
    <x v="2"/>
    <x v="0"/>
    <n v="92.6"/>
    <n v="92.6"/>
    <x v="54"/>
    <d v="2025-02-27T00:00:00"/>
    <x v="2"/>
    <x v="0"/>
    <x v="2"/>
    <x v="0"/>
    <x v="35"/>
    <x v="2"/>
    <x v="8"/>
    <x v="2"/>
  </r>
  <r>
    <x v="1463"/>
    <x v="9"/>
    <x v="1"/>
    <n v="31.1"/>
    <n v="62.2"/>
    <x v="54"/>
    <d v="2025-03-01T00:00:00"/>
    <x v="0"/>
    <x v="1"/>
    <x v="3"/>
    <x v="0"/>
    <x v="23"/>
    <x v="0"/>
    <x v="8"/>
    <x v="0"/>
  </r>
  <r>
    <x v="1464"/>
    <x v="5"/>
    <x v="2"/>
    <n v="56.4"/>
    <n v="169.2"/>
    <x v="54"/>
    <d v="2025-02-25T00:00:00"/>
    <x v="0"/>
    <x v="1"/>
    <x v="0"/>
    <x v="0"/>
    <x v="6"/>
    <x v="3"/>
    <x v="8"/>
    <x v="0"/>
  </r>
  <r>
    <x v="1465"/>
    <x v="9"/>
    <x v="0"/>
    <n v="41.9"/>
    <n v="41.9"/>
    <x v="54"/>
    <d v="2025-02-24T00:00:00"/>
    <x v="1"/>
    <x v="1"/>
    <x v="0"/>
    <x v="0"/>
    <x v="6"/>
    <x v="7"/>
    <x v="8"/>
    <x v="1"/>
  </r>
  <r>
    <x v="1466"/>
    <x v="10"/>
    <x v="3"/>
    <n v="45.9"/>
    <n v="321.3"/>
    <x v="54"/>
    <d v="2025-02-25T00:00:00"/>
    <x v="1"/>
    <x v="3"/>
    <x v="2"/>
    <x v="0"/>
    <x v="8"/>
    <x v="3"/>
    <x v="8"/>
    <x v="1"/>
  </r>
  <r>
    <x v="1467"/>
    <x v="14"/>
    <x v="11"/>
    <n v="24.4"/>
    <n v="219.6"/>
    <x v="54"/>
    <d v="2025-02-28T00:00:00"/>
    <x v="1"/>
    <x v="3"/>
    <x v="2"/>
    <x v="0"/>
    <x v="8"/>
    <x v="5"/>
    <x v="8"/>
    <x v="1"/>
  </r>
  <r>
    <x v="1468"/>
    <x v="8"/>
    <x v="0"/>
    <n v="18.2"/>
    <n v="18.2"/>
    <x v="54"/>
    <d v="2025-02-25T00:00:00"/>
    <x v="2"/>
    <x v="2"/>
    <x v="2"/>
    <x v="0"/>
    <x v="8"/>
    <x v="3"/>
    <x v="8"/>
    <x v="2"/>
  </r>
  <r>
    <x v="1469"/>
    <x v="8"/>
    <x v="12"/>
    <n v="51.2"/>
    <n v="204.8"/>
    <x v="54"/>
    <d v="2025-02-25T00:00:00"/>
    <x v="2"/>
    <x v="0"/>
    <x v="0"/>
    <x v="0"/>
    <x v="8"/>
    <x v="3"/>
    <x v="8"/>
    <x v="2"/>
  </r>
  <r>
    <x v="1470"/>
    <x v="6"/>
    <x v="0"/>
    <n v="59.7"/>
    <n v="59.7"/>
    <x v="54"/>
    <d v="2025-02-27T00:00:00"/>
    <x v="1"/>
    <x v="0"/>
    <x v="2"/>
    <x v="0"/>
    <x v="8"/>
    <x v="2"/>
    <x v="8"/>
    <x v="1"/>
  </r>
  <r>
    <x v="1471"/>
    <x v="4"/>
    <x v="1"/>
    <n v="33.6"/>
    <n v="67.2"/>
    <x v="54"/>
    <d v="2025-02-26T00:00:00"/>
    <x v="2"/>
    <x v="0"/>
    <x v="0"/>
    <x v="0"/>
    <x v="17"/>
    <x v="1"/>
    <x v="8"/>
    <x v="2"/>
  </r>
  <r>
    <x v="1472"/>
    <x v="12"/>
    <x v="0"/>
    <n v="90.4"/>
    <n v="90.4"/>
    <x v="54"/>
    <d v="2025-02-28T00:00:00"/>
    <x v="1"/>
    <x v="1"/>
    <x v="2"/>
    <x v="0"/>
    <x v="10"/>
    <x v="5"/>
    <x v="8"/>
    <x v="1"/>
  </r>
  <r>
    <x v="1473"/>
    <x v="11"/>
    <x v="2"/>
    <n v="70.3"/>
    <n v="210.89999999999998"/>
    <x v="54"/>
    <d v="2025-02-24T00:00:00"/>
    <x v="1"/>
    <x v="1"/>
    <x v="2"/>
    <x v="0"/>
    <x v="11"/>
    <x v="7"/>
    <x v="8"/>
    <x v="1"/>
  </r>
  <r>
    <x v="1474"/>
    <x v="4"/>
    <x v="1"/>
    <n v="20.5"/>
    <n v="41"/>
    <x v="54"/>
    <d v="2025-02-27T00:00:00"/>
    <x v="2"/>
    <x v="0"/>
    <x v="1"/>
    <x v="0"/>
    <x v="11"/>
    <x v="2"/>
    <x v="8"/>
    <x v="2"/>
  </r>
  <r>
    <x v="1475"/>
    <x v="5"/>
    <x v="5"/>
    <n v="37.6"/>
    <n v="413.6"/>
    <x v="54"/>
    <d v="2025-02-25T00:00:00"/>
    <x v="1"/>
    <x v="0"/>
    <x v="0"/>
    <x v="0"/>
    <x v="38"/>
    <x v="3"/>
    <x v="8"/>
    <x v="1"/>
  </r>
  <r>
    <x v="1476"/>
    <x v="5"/>
    <x v="12"/>
    <n v="61.5"/>
    <n v="246"/>
    <x v="54"/>
    <d v="2025-03-03T00:00:00"/>
    <x v="2"/>
    <x v="1"/>
    <x v="4"/>
    <x v="0"/>
    <x v="13"/>
    <x v="6"/>
    <x v="8"/>
    <x v="2"/>
  </r>
  <r>
    <x v="1477"/>
    <x v="9"/>
    <x v="0"/>
    <n v="33.5"/>
    <n v="33.5"/>
    <x v="55"/>
    <d v="2025-03-01T00:00:00"/>
    <x v="1"/>
    <x v="4"/>
    <x v="1"/>
    <x v="0"/>
    <x v="21"/>
    <x v="5"/>
    <x v="8"/>
    <x v="1"/>
  </r>
  <r>
    <x v="1478"/>
    <x v="4"/>
    <x v="2"/>
    <n v="29.3"/>
    <n v="87.9"/>
    <x v="55"/>
    <d v="2025-02-27T00:00:00"/>
    <x v="2"/>
    <x v="1"/>
    <x v="2"/>
    <x v="0"/>
    <x v="1"/>
    <x v="1"/>
    <x v="8"/>
    <x v="2"/>
  </r>
  <r>
    <x v="1479"/>
    <x v="2"/>
    <x v="1"/>
    <n v="125.9"/>
    <n v="251.8"/>
    <x v="55"/>
    <d v="2025-03-02T00:00:00"/>
    <x v="2"/>
    <x v="4"/>
    <x v="1"/>
    <x v="0"/>
    <x v="1"/>
    <x v="0"/>
    <x v="8"/>
    <x v="2"/>
  </r>
  <r>
    <x v="1480"/>
    <x v="5"/>
    <x v="9"/>
    <n v="29.3"/>
    <n v="146.5"/>
    <x v="55"/>
    <d v="2025-02-25T00:00:00"/>
    <x v="1"/>
    <x v="2"/>
    <x v="0"/>
    <x v="0"/>
    <x v="44"/>
    <x v="7"/>
    <x v="8"/>
    <x v="1"/>
  </r>
  <r>
    <x v="1481"/>
    <x v="9"/>
    <x v="0"/>
    <n v="37.799999999999997"/>
    <n v="37.799999999999997"/>
    <x v="55"/>
    <d v="2025-02-28T00:00:00"/>
    <x v="2"/>
    <x v="0"/>
    <x v="2"/>
    <x v="0"/>
    <x v="3"/>
    <x v="2"/>
    <x v="8"/>
    <x v="2"/>
  </r>
  <r>
    <x v="1482"/>
    <x v="0"/>
    <x v="12"/>
    <n v="31.7"/>
    <n v="126.8"/>
    <x v="55"/>
    <d v="2025-02-26T00:00:00"/>
    <x v="1"/>
    <x v="2"/>
    <x v="2"/>
    <x v="0"/>
    <x v="3"/>
    <x v="3"/>
    <x v="8"/>
    <x v="1"/>
  </r>
  <r>
    <x v="1483"/>
    <x v="8"/>
    <x v="9"/>
    <n v="26.3"/>
    <n v="131.5"/>
    <x v="55"/>
    <d v="2025-02-26T00:00:00"/>
    <x v="2"/>
    <x v="3"/>
    <x v="2"/>
    <x v="0"/>
    <x v="3"/>
    <x v="3"/>
    <x v="8"/>
    <x v="2"/>
  </r>
  <r>
    <x v="1484"/>
    <x v="8"/>
    <x v="2"/>
    <n v="23.1"/>
    <n v="69.300000000000011"/>
    <x v="55"/>
    <d v="2025-02-26T00:00:00"/>
    <x v="3"/>
    <x v="2"/>
    <x v="1"/>
    <x v="0"/>
    <x v="3"/>
    <x v="3"/>
    <x v="8"/>
    <x v="3"/>
  </r>
  <r>
    <x v="1485"/>
    <x v="4"/>
    <x v="0"/>
    <n v="22.3"/>
    <n v="22.3"/>
    <x v="55"/>
    <d v="2025-02-27T00:00:00"/>
    <x v="2"/>
    <x v="2"/>
    <x v="0"/>
    <x v="0"/>
    <x v="3"/>
    <x v="1"/>
    <x v="8"/>
    <x v="2"/>
  </r>
  <r>
    <x v="1486"/>
    <x v="12"/>
    <x v="1"/>
    <n v="99.5"/>
    <n v="199"/>
    <x v="55"/>
    <d v="2025-02-27T00:00:00"/>
    <x v="2"/>
    <x v="2"/>
    <x v="0"/>
    <x v="0"/>
    <x v="3"/>
    <x v="1"/>
    <x v="8"/>
    <x v="2"/>
  </r>
  <r>
    <x v="1487"/>
    <x v="12"/>
    <x v="12"/>
    <n v="47.4"/>
    <n v="189.6"/>
    <x v="55"/>
    <d v="2025-02-28T00:00:00"/>
    <x v="2"/>
    <x v="1"/>
    <x v="0"/>
    <x v="0"/>
    <x v="3"/>
    <x v="2"/>
    <x v="8"/>
    <x v="2"/>
  </r>
  <r>
    <x v="1488"/>
    <x v="0"/>
    <x v="5"/>
    <n v="37.5"/>
    <n v="412.5"/>
    <x v="55"/>
    <d v="2025-02-27T00:00:00"/>
    <x v="2"/>
    <x v="0"/>
    <x v="3"/>
    <x v="0"/>
    <x v="3"/>
    <x v="1"/>
    <x v="8"/>
    <x v="2"/>
  </r>
  <r>
    <x v="1489"/>
    <x v="10"/>
    <x v="0"/>
    <n v="45.1"/>
    <n v="45.1"/>
    <x v="55"/>
    <d v="2025-03-02T00:00:00"/>
    <x v="1"/>
    <x v="3"/>
    <x v="2"/>
    <x v="0"/>
    <x v="24"/>
    <x v="0"/>
    <x v="8"/>
    <x v="1"/>
  </r>
  <r>
    <x v="1490"/>
    <x v="5"/>
    <x v="7"/>
    <n v="34.4"/>
    <n v="344"/>
    <x v="55"/>
    <d v="2025-02-28T00:00:00"/>
    <x v="1"/>
    <x v="2"/>
    <x v="0"/>
    <x v="0"/>
    <x v="16"/>
    <x v="2"/>
    <x v="8"/>
    <x v="1"/>
  </r>
  <r>
    <x v="1491"/>
    <x v="4"/>
    <x v="1"/>
    <n v="38"/>
    <n v="76"/>
    <x v="55"/>
    <d v="2025-02-27T00:00:00"/>
    <x v="2"/>
    <x v="1"/>
    <x v="0"/>
    <x v="0"/>
    <x v="5"/>
    <x v="1"/>
    <x v="8"/>
    <x v="2"/>
  </r>
  <r>
    <x v="1492"/>
    <x v="3"/>
    <x v="21"/>
    <n v="32.4"/>
    <n v="453.59999999999997"/>
    <x v="55"/>
    <d v="2025-02-28T00:00:00"/>
    <x v="1"/>
    <x v="4"/>
    <x v="0"/>
    <x v="0"/>
    <x v="6"/>
    <x v="2"/>
    <x v="8"/>
    <x v="1"/>
  </r>
  <r>
    <x v="1493"/>
    <x v="6"/>
    <x v="2"/>
    <n v="40.9"/>
    <n v="122.69999999999999"/>
    <x v="55"/>
    <d v="2025-02-25T00:00:00"/>
    <x v="0"/>
    <x v="1"/>
    <x v="0"/>
    <x v="0"/>
    <x v="8"/>
    <x v="7"/>
    <x v="8"/>
    <x v="0"/>
  </r>
  <r>
    <x v="1494"/>
    <x v="7"/>
    <x v="3"/>
    <n v="76.2"/>
    <n v="533.4"/>
    <x v="55"/>
    <d v="2025-02-27T00:00:00"/>
    <x v="2"/>
    <x v="2"/>
    <x v="1"/>
    <x v="0"/>
    <x v="8"/>
    <x v="1"/>
    <x v="8"/>
    <x v="2"/>
  </r>
  <r>
    <x v="1495"/>
    <x v="2"/>
    <x v="0"/>
    <n v="85.6"/>
    <n v="85.6"/>
    <x v="55"/>
    <d v="2025-02-27T00:00:00"/>
    <x v="1"/>
    <x v="2"/>
    <x v="0"/>
    <x v="0"/>
    <x v="8"/>
    <x v="1"/>
    <x v="8"/>
    <x v="1"/>
  </r>
  <r>
    <x v="1496"/>
    <x v="4"/>
    <x v="12"/>
    <n v="25"/>
    <n v="100"/>
    <x v="55"/>
    <d v="2025-02-27T00:00:00"/>
    <x v="2"/>
    <x v="2"/>
    <x v="2"/>
    <x v="0"/>
    <x v="8"/>
    <x v="1"/>
    <x v="8"/>
    <x v="2"/>
  </r>
  <r>
    <x v="1497"/>
    <x v="2"/>
    <x v="9"/>
    <n v="150.69999999999999"/>
    <n v="753.5"/>
    <x v="55"/>
    <d v="2025-02-26T00:00:00"/>
    <x v="0"/>
    <x v="0"/>
    <x v="2"/>
    <x v="0"/>
    <x v="8"/>
    <x v="3"/>
    <x v="8"/>
    <x v="0"/>
  </r>
  <r>
    <x v="1498"/>
    <x v="8"/>
    <x v="0"/>
    <n v="19.600000000000001"/>
    <n v="19.600000000000001"/>
    <x v="55"/>
    <d v="2025-02-26T00:00:00"/>
    <x v="1"/>
    <x v="1"/>
    <x v="4"/>
    <x v="0"/>
    <x v="8"/>
    <x v="3"/>
    <x v="8"/>
    <x v="1"/>
  </r>
  <r>
    <x v="1499"/>
    <x v="13"/>
    <x v="1"/>
    <n v="37.5"/>
    <n v="75"/>
    <x v="55"/>
    <d v="2025-02-28T00:00:00"/>
    <x v="2"/>
    <x v="1"/>
    <x v="2"/>
    <x v="0"/>
    <x v="17"/>
    <x v="2"/>
    <x v="8"/>
    <x v="2"/>
  </r>
  <r>
    <x v="1500"/>
    <x v="9"/>
    <x v="2"/>
    <n v="51.9"/>
    <n v="155.69999999999999"/>
    <x v="55"/>
    <d v="2025-03-03T00:00:00"/>
    <x v="2"/>
    <x v="0"/>
    <x v="4"/>
    <x v="0"/>
    <x v="11"/>
    <x v="4"/>
    <x v="8"/>
    <x v="2"/>
  </r>
  <r>
    <x v="1501"/>
    <x v="1"/>
    <x v="1"/>
    <n v="30.9"/>
    <n v="61.8"/>
    <x v="55"/>
    <d v="2025-02-27T00:00:00"/>
    <x v="2"/>
    <x v="1"/>
    <x v="0"/>
    <x v="0"/>
    <x v="18"/>
    <x v="1"/>
    <x v="8"/>
    <x v="2"/>
  </r>
  <r>
    <x v="1502"/>
    <x v="4"/>
    <x v="2"/>
    <n v="21.2"/>
    <n v="63.599999999999994"/>
    <x v="55"/>
    <d v="2025-02-28T00:00:00"/>
    <x v="2"/>
    <x v="1"/>
    <x v="0"/>
    <x v="0"/>
    <x v="19"/>
    <x v="2"/>
    <x v="8"/>
    <x v="2"/>
  </r>
  <r>
    <x v="1503"/>
    <x v="13"/>
    <x v="14"/>
    <n v="17.5"/>
    <n v="297.5"/>
    <x v="55"/>
    <d v="2025-02-26T00:00:00"/>
    <x v="1"/>
    <x v="1"/>
    <x v="1"/>
    <x v="0"/>
    <x v="13"/>
    <x v="3"/>
    <x v="8"/>
    <x v="1"/>
  </r>
  <r>
    <x v="1504"/>
    <x v="12"/>
    <x v="1"/>
    <n v="53.8"/>
    <n v="107.6"/>
    <x v="55"/>
    <d v="2025-03-02T00:00:00"/>
    <x v="2"/>
    <x v="0"/>
    <x v="2"/>
    <x v="0"/>
    <x v="21"/>
    <x v="0"/>
    <x v="8"/>
    <x v="2"/>
  </r>
  <r>
    <x v="1505"/>
    <x v="19"/>
    <x v="1"/>
    <n v="17"/>
    <n v="34"/>
    <x v="55"/>
    <d v="2025-02-26T00:00:00"/>
    <x v="1"/>
    <x v="3"/>
    <x v="0"/>
    <x v="0"/>
    <x v="21"/>
    <x v="3"/>
    <x v="8"/>
    <x v="1"/>
  </r>
  <r>
    <x v="1506"/>
    <x v="6"/>
    <x v="0"/>
    <n v="103.2"/>
    <n v="103.2"/>
    <x v="55"/>
    <d v="2025-03-05T00:00:00"/>
    <x v="1"/>
    <x v="2"/>
    <x v="1"/>
    <x v="0"/>
    <x v="1"/>
    <x v="9"/>
    <x v="8"/>
    <x v="1"/>
  </r>
  <r>
    <x v="1507"/>
    <x v="6"/>
    <x v="12"/>
    <n v="70.3"/>
    <n v="281.2"/>
    <x v="55"/>
    <d v="2025-02-26T00:00:00"/>
    <x v="1"/>
    <x v="0"/>
    <x v="0"/>
    <x v="0"/>
    <x v="3"/>
    <x v="3"/>
    <x v="8"/>
    <x v="1"/>
  </r>
  <r>
    <x v="1508"/>
    <x v="2"/>
    <x v="1"/>
    <n v="73.8"/>
    <n v="147.6"/>
    <x v="55"/>
    <d v="2025-02-25T00:00:00"/>
    <x v="1"/>
    <x v="3"/>
    <x v="2"/>
    <x v="0"/>
    <x v="3"/>
    <x v="7"/>
    <x v="8"/>
    <x v="1"/>
  </r>
  <r>
    <x v="1509"/>
    <x v="1"/>
    <x v="4"/>
    <n v="67.7"/>
    <n v="812.40000000000009"/>
    <x v="55"/>
    <d v="2025-03-01T00:00:00"/>
    <x v="1"/>
    <x v="1"/>
    <x v="1"/>
    <x v="0"/>
    <x v="3"/>
    <x v="5"/>
    <x v="8"/>
    <x v="1"/>
  </r>
  <r>
    <x v="1510"/>
    <x v="13"/>
    <x v="3"/>
    <n v="43.8"/>
    <n v="306.59999999999997"/>
    <x v="55"/>
    <d v="2025-02-27T00:00:00"/>
    <x v="1"/>
    <x v="1"/>
    <x v="0"/>
    <x v="0"/>
    <x v="3"/>
    <x v="1"/>
    <x v="8"/>
    <x v="1"/>
  </r>
  <r>
    <x v="1511"/>
    <x v="17"/>
    <x v="13"/>
    <n v="71.900000000000006"/>
    <n v="431.40000000000003"/>
    <x v="55"/>
    <d v="2025-02-26T00:00:00"/>
    <x v="2"/>
    <x v="2"/>
    <x v="0"/>
    <x v="0"/>
    <x v="3"/>
    <x v="3"/>
    <x v="8"/>
    <x v="2"/>
  </r>
  <r>
    <x v="1512"/>
    <x v="8"/>
    <x v="1"/>
    <n v="26.3"/>
    <n v="52.6"/>
    <x v="56"/>
    <d v="2025-02-28T00:00:00"/>
    <x v="2"/>
    <x v="0"/>
    <x v="1"/>
    <x v="0"/>
    <x v="3"/>
    <x v="1"/>
    <x v="8"/>
    <x v="2"/>
  </r>
  <r>
    <x v="1513"/>
    <x v="6"/>
    <x v="12"/>
    <n v="52.6"/>
    <n v="210.4"/>
    <x v="56"/>
    <d v="2025-02-28T00:00:00"/>
    <x v="2"/>
    <x v="2"/>
    <x v="1"/>
    <x v="0"/>
    <x v="3"/>
    <x v="1"/>
    <x v="8"/>
    <x v="2"/>
  </r>
  <r>
    <x v="1514"/>
    <x v="10"/>
    <x v="0"/>
    <n v="32.700000000000003"/>
    <n v="32.700000000000003"/>
    <x v="56"/>
    <d v="2025-03-05T00:00:00"/>
    <x v="2"/>
    <x v="0"/>
    <x v="2"/>
    <x v="0"/>
    <x v="3"/>
    <x v="6"/>
    <x v="8"/>
    <x v="2"/>
  </r>
  <r>
    <x v="1515"/>
    <x v="5"/>
    <x v="12"/>
    <n v="38.9"/>
    <n v="155.6"/>
    <x v="56"/>
    <d v="2025-02-27T00:00:00"/>
    <x v="2"/>
    <x v="0"/>
    <x v="0"/>
    <x v="0"/>
    <x v="3"/>
    <x v="3"/>
    <x v="8"/>
    <x v="2"/>
  </r>
  <r>
    <x v="1516"/>
    <x v="9"/>
    <x v="9"/>
    <n v="35"/>
    <n v="175"/>
    <x v="56"/>
    <d v="2025-02-28T00:00:00"/>
    <x v="1"/>
    <x v="0"/>
    <x v="0"/>
    <x v="0"/>
    <x v="3"/>
    <x v="1"/>
    <x v="8"/>
    <x v="1"/>
  </r>
  <r>
    <x v="1517"/>
    <x v="2"/>
    <x v="1"/>
    <n v="121"/>
    <n v="242"/>
    <x v="56"/>
    <d v="2025-02-27T00:00:00"/>
    <x v="2"/>
    <x v="1"/>
    <x v="1"/>
    <x v="0"/>
    <x v="3"/>
    <x v="3"/>
    <x v="8"/>
    <x v="2"/>
  </r>
  <r>
    <x v="1518"/>
    <x v="6"/>
    <x v="2"/>
    <n v="65.099999999999994"/>
    <n v="195.29999999999998"/>
    <x v="56"/>
    <d v="2025-03-02T00:00:00"/>
    <x v="1"/>
    <x v="2"/>
    <x v="0"/>
    <x v="0"/>
    <x v="36"/>
    <x v="5"/>
    <x v="8"/>
    <x v="1"/>
  </r>
  <r>
    <x v="1519"/>
    <x v="1"/>
    <x v="38"/>
    <n v="63.8"/>
    <n v="1339.8"/>
    <x v="56"/>
    <d v="2025-02-28T00:00:00"/>
    <x v="2"/>
    <x v="0"/>
    <x v="0"/>
    <x v="0"/>
    <x v="8"/>
    <x v="1"/>
    <x v="8"/>
    <x v="2"/>
  </r>
  <r>
    <x v="1520"/>
    <x v="7"/>
    <x v="0"/>
    <n v="77.7"/>
    <n v="77.7"/>
    <x v="56"/>
    <d v="2025-02-28T00:00:00"/>
    <x v="1"/>
    <x v="0"/>
    <x v="0"/>
    <x v="0"/>
    <x v="8"/>
    <x v="1"/>
    <x v="8"/>
    <x v="1"/>
  </r>
  <r>
    <x v="1521"/>
    <x v="5"/>
    <x v="12"/>
    <n v="60.3"/>
    <n v="241.2"/>
    <x v="56"/>
    <d v="2025-02-26T00:00:00"/>
    <x v="1"/>
    <x v="0"/>
    <x v="2"/>
    <x v="0"/>
    <x v="8"/>
    <x v="7"/>
    <x v="8"/>
    <x v="1"/>
  </r>
  <r>
    <x v="1522"/>
    <x v="5"/>
    <x v="1"/>
    <n v="124.1"/>
    <n v="248.2"/>
    <x v="56"/>
    <d v="2025-03-01T00:00:00"/>
    <x v="2"/>
    <x v="0"/>
    <x v="2"/>
    <x v="0"/>
    <x v="8"/>
    <x v="2"/>
    <x v="8"/>
    <x v="2"/>
  </r>
  <r>
    <x v="1523"/>
    <x v="16"/>
    <x v="3"/>
    <n v="66"/>
    <n v="462"/>
    <x v="56"/>
    <d v="2025-02-26T00:00:00"/>
    <x v="0"/>
    <x v="3"/>
    <x v="0"/>
    <x v="0"/>
    <x v="17"/>
    <x v="7"/>
    <x v="8"/>
    <x v="0"/>
  </r>
  <r>
    <x v="1524"/>
    <x v="2"/>
    <x v="42"/>
    <n v="118.2"/>
    <n v="7446.6"/>
    <x v="56"/>
    <d v="2025-03-03T00:00:00"/>
    <x v="0"/>
    <x v="0"/>
    <x v="0"/>
    <x v="0"/>
    <x v="17"/>
    <x v="0"/>
    <x v="8"/>
    <x v="0"/>
  </r>
  <r>
    <x v="1525"/>
    <x v="5"/>
    <x v="9"/>
    <n v="64.3"/>
    <n v="321.5"/>
    <x v="56"/>
    <d v="2025-02-27T00:00:00"/>
    <x v="1"/>
    <x v="4"/>
    <x v="4"/>
    <x v="0"/>
    <x v="26"/>
    <x v="3"/>
    <x v="8"/>
    <x v="1"/>
  </r>
  <r>
    <x v="1526"/>
    <x v="1"/>
    <x v="1"/>
    <n v="54.8"/>
    <n v="109.6"/>
    <x v="56"/>
    <d v="2025-02-26T00:00:00"/>
    <x v="1"/>
    <x v="0"/>
    <x v="1"/>
    <x v="0"/>
    <x v="26"/>
    <x v="7"/>
    <x v="8"/>
    <x v="1"/>
  </r>
  <r>
    <x v="1527"/>
    <x v="7"/>
    <x v="1"/>
    <n v="78.599999999999994"/>
    <n v="157.19999999999999"/>
    <x v="56"/>
    <d v="2025-02-27T00:00:00"/>
    <x v="1"/>
    <x v="0"/>
    <x v="2"/>
    <x v="0"/>
    <x v="9"/>
    <x v="3"/>
    <x v="8"/>
    <x v="1"/>
  </r>
  <r>
    <x v="1528"/>
    <x v="2"/>
    <x v="9"/>
    <n v="158.5"/>
    <n v="792.5"/>
    <x v="56"/>
    <d v="2025-02-28T00:00:00"/>
    <x v="0"/>
    <x v="2"/>
    <x v="2"/>
    <x v="0"/>
    <x v="9"/>
    <x v="1"/>
    <x v="8"/>
    <x v="0"/>
  </r>
  <r>
    <x v="1529"/>
    <x v="4"/>
    <x v="7"/>
    <n v="23.5"/>
    <n v="235"/>
    <x v="56"/>
    <d v="2025-03-01T00:00:00"/>
    <x v="1"/>
    <x v="0"/>
    <x v="4"/>
    <x v="0"/>
    <x v="10"/>
    <x v="2"/>
    <x v="8"/>
    <x v="1"/>
  </r>
  <r>
    <x v="1530"/>
    <x v="5"/>
    <x v="1"/>
    <n v="32.1"/>
    <n v="64.2"/>
    <x v="56"/>
    <d v="2025-02-28T00:00:00"/>
    <x v="0"/>
    <x v="3"/>
    <x v="0"/>
    <x v="0"/>
    <x v="10"/>
    <x v="1"/>
    <x v="8"/>
    <x v="0"/>
  </r>
  <r>
    <x v="1531"/>
    <x v="17"/>
    <x v="12"/>
    <n v="71.900000000000006"/>
    <n v="287.60000000000002"/>
    <x v="56"/>
    <d v="2025-02-26T00:00:00"/>
    <x v="1"/>
    <x v="2"/>
    <x v="0"/>
    <x v="0"/>
    <x v="19"/>
    <x v="7"/>
    <x v="8"/>
    <x v="1"/>
  </r>
  <r>
    <x v="1532"/>
    <x v="4"/>
    <x v="13"/>
    <n v="22.3"/>
    <n v="133.80000000000001"/>
    <x v="56"/>
    <d v="2025-02-27T00:00:00"/>
    <x v="0"/>
    <x v="3"/>
    <x v="2"/>
    <x v="0"/>
    <x v="13"/>
    <x v="3"/>
    <x v="8"/>
    <x v="0"/>
  </r>
  <r>
    <x v="1533"/>
    <x v="11"/>
    <x v="1"/>
    <n v="29.5"/>
    <n v="59"/>
    <x v="56"/>
    <d v="2025-02-27T00:00:00"/>
    <x v="2"/>
    <x v="0"/>
    <x v="2"/>
    <x v="0"/>
    <x v="13"/>
    <x v="3"/>
    <x v="8"/>
    <x v="2"/>
  </r>
  <r>
    <x v="1534"/>
    <x v="6"/>
    <x v="12"/>
    <n v="41.9"/>
    <n v="167.6"/>
    <x v="56"/>
    <d v="2025-03-02T00:00:00"/>
    <x v="2"/>
    <x v="0"/>
    <x v="1"/>
    <x v="0"/>
    <x v="21"/>
    <x v="5"/>
    <x v="8"/>
    <x v="2"/>
  </r>
  <r>
    <x v="1535"/>
    <x v="6"/>
    <x v="2"/>
    <n v="107.8"/>
    <n v="323.39999999999998"/>
    <x v="56"/>
    <d v="2025-02-27T00:00:00"/>
    <x v="1"/>
    <x v="1"/>
    <x v="2"/>
    <x v="0"/>
    <x v="46"/>
    <x v="3"/>
    <x v="8"/>
    <x v="1"/>
  </r>
  <r>
    <x v="1536"/>
    <x v="4"/>
    <x v="9"/>
    <n v="18.100000000000001"/>
    <n v="90.5"/>
    <x v="56"/>
    <d v="2025-03-01T00:00:00"/>
    <x v="1"/>
    <x v="0"/>
    <x v="2"/>
    <x v="0"/>
    <x v="2"/>
    <x v="2"/>
    <x v="8"/>
    <x v="1"/>
  </r>
  <r>
    <x v="1537"/>
    <x v="12"/>
    <x v="11"/>
    <n v="79.8"/>
    <n v="718.19999999999993"/>
    <x v="56"/>
    <d v="2025-02-27T00:00:00"/>
    <x v="2"/>
    <x v="1"/>
    <x v="1"/>
    <x v="0"/>
    <x v="22"/>
    <x v="3"/>
    <x v="8"/>
    <x v="2"/>
  </r>
  <r>
    <x v="1538"/>
    <x v="0"/>
    <x v="2"/>
    <n v="22.3"/>
    <n v="66.900000000000006"/>
    <x v="56"/>
    <d v="2025-03-01T00:00:00"/>
    <x v="2"/>
    <x v="0"/>
    <x v="2"/>
    <x v="0"/>
    <x v="22"/>
    <x v="2"/>
    <x v="8"/>
    <x v="2"/>
  </r>
  <r>
    <x v="1539"/>
    <x v="8"/>
    <x v="0"/>
    <n v="22.9"/>
    <n v="22.9"/>
    <x v="56"/>
    <d v="2025-02-26T00:00:00"/>
    <x v="2"/>
    <x v="1"/>
    <x v="0"/>
    <x v="0"/>
    <x v="22"/>
    <x v="7"/>
    <x v="8"/>
    <x v="2"/>
  </r>
  <r>
    <x v="1540"/>
    <x v="0"/>
    <x v="2"/>
    <n v="16.2"/>
    <n v="48.599999999999994"/>
    <x v="57"/>
    <d v="2025-02-27T00:00:00"/>
    <x v="1"/>
    <x v="4"/>
    <x v="2"/>
    <x v="0"/>
    <x v="3"/>
    <x v="7"/>
    <x v="8"/>
    <x v="1"/>
  </r>
  <r>
    <x v="1541"/>
    <x v="10"/>
    <x v="12"/>
    <n v="59.5"/>
    <n v="238"/>
    <x v="57"/>
    <d v="2025-02-28T00:00:00"/>
    <x v="1"/>
    <x v="1"/>
    <x v="2"/>
    <x v="0"/>
    <x v="3"/>
    <x v="3"/>
    <x v="8"/>
    <x v="1"/>
  </r>
  <r>
    <x v="1542"/>
    <x v="18"/>
    <x v="9"/>
    <n v="26.2"/>
    <n v="131"/>
    <x v="57"/>
    <d v="2025-03-02T00:00:00"/>
    <x v="1"/>
    <x v="3"/>
    <x v="4"/>
    <x v="0"/>
    <x v="3"/>
    <x v="2"/>
    <x v="8"/>
    <x v="1"/>
  </r>
  <r>
    <x v="1543"/>
    <x v="3"/>
    <x v="0"/>
    <n v="44.2"/>
    <n v="44.2"/>
    <x v="57"/>
    <d v="2025-03-02T00:00:00"/>
    <x v="2"/>
    <x v="1"/>
    <x v="0"/>
    <x v="0"/>
    <x v="3"/>
    <x v="2"/>
    <x v="8"/>
    <x v="2"/>
  </r>
  <r>
    <x v="1544"/>
    <x v="9"/>
    <x v="1"/>
    <n v="59.2"/>
    <n v="118.4"/>
    <x v="57"/>
    <d v="2025-02-27T00:00:00"/>
    <x v="2"/>
    <x v="1"/>
    <x v="4"/>
    <x v="0"/>
    <x v="3"/>
    <x v="7"/>
    <x v="8"/>
    <x v="2"/>
  </r>
  <r>
    <x v="1545"/>
    <x v="15"/>
    <x v="12"/>
    <n v="41.5"/>
    <n v="166"/>
    <x v="57"/>
    <d v="2025-03-01T00:00:00"/>
    <x v="2"/>
    <x v="0"/>
    <x v="0"/>
    <x v="0"/>
    <x v="16"/>
    <x v="1"/>
    <x v="8"/>
    <x v="2"/>
  </r>
  <r>
    <x v="1546"/>
    <x v="6"/>
    <x v="4"/>
    <n v="67.099999999999994"/>
    <n v="805.19999999999993"/>
    <x v="57"/>
    <d v="2025-03-13T00:00:00"/>
    <x v="2"/>
    <x v="0"/>
    <x v="2"/>
    <x v="0"/>
    <x v="23"/>
    <x v="12"/>
    <x v="8"/>
    <x v="2"/>
  </r>
  <r>
    <x v="1547"/>
    <x v="8"/>
    <x v="1"/>
    <n v="28.7"/>
    <n v="57.4"/>
    <x v="57"/>
    <d v="2025-03-03T00:00:00"/>
    <x v="2"/>
    <x v="1"/>
    <x v="0"/>
    <x v="0"/>
    <x v="6"/>
    <x v="5"/>
    <x v="8"/>
    <x v="2"/>
  </r>
  <r>
    <x v="1548"/>
    <x v="2"/>
    <x v="12"/>
    <n v="132.1"/>
    <n v="528.4"/>
    <x v="57"/>
    <d v="2025-02-28T00:00:00"/>
    <x v="2"/>
    <x v="0"/>
    <x v="1"/>
    <x v="0"/>
    <x v="6"/>
    <x v="3"/>
    <x v="8"/>
    <x v="2"/>
  </r>
  <r>
    <x v="1549"/>
    <x v="18"/>
    <x v="1"/>
    <n v="47"/>
    <n v="94"/>
    <x v="57"/>
    <d v="2025-03-01T00:00:00"/>
    <x v="1"/>
    <x v="4"/>
    <x v="0"/>
    <x v="0"/>
    <x v="8"/>
    <x v="1"/>
    <x v="8"/>
    <x v="1"/>
  </r>
  <r>
    <x v="1550"/>
    <x v="8"/>
    <x v="1"/>
    <n v="41.6"/>
    <n v="83.2"/>
    <x v="57"/>
    <d v="2025-03-03T00:00:00"/>
    <x v="1"/>
    <x v="1"/>
    <x v="2"/>
    <x v="0"/>
    <x v="8"/>
    <x v="5"/>
    <x v="8"/>
    <x v="1"/>
  </r>
  <r>
    <x v="1551"/>
    <x v="8"/>
    <x v="43"/>
    <n v="17.3"/>
    <n v="657.4"/>
    <x v="57"/>
    <d v="2025-03-01T00:00:00"/>
    <x v="1"/>
    <x v="2"/>
    <x v="2"/>
    <x v="0"/>
    <x v="8"/>
    <x v="1"/>
    <x v="8"/>
    <x v="1"/>
  </r>
  <r>
    <x v="1552"/>
    <x v="13"/>
    <x v="2"/>
    <n v="41.8"/>
    <n v="125.39999999999999"/>
    <x v="57"/>
    <d v="2025-03-02T00:00:00"/>
    <x v="1"/>
    <x v="0"/>
    <x v="2"/>
    <x v="0"/>
    <x v="8"/>
    <x v="2"/>
    <x v="8"/>
    <x v="1"/>
  </r>
  <r>
    <x v="1553"/>
    <x v="10"/>
    <x v="0"/>
    <n v="24"/>
    <n v="24"/>
    <x v="57"/>
    <d v="2025-02-28T00:00:00"/>
    <x v="2"/>
    <x v="0"/>
    <x v="0"/>
    <x v="0"/>
    <x v="17"/>
    <x v="3"/>
    <x v="8"/>
    <x v="2"/>
  </r>
  <r>
    <x v="1554"/>
    <x v="14"/>
    <x v="11"/>
    <n v="18.5"/>
    <n v="166.5"/>
    <x v="57"/>
    <d v="2025-03-01T00:00:00"/>
    <x v="2"/>
    <x v="0"/>
    <x v="0"/>
    <x v="0"/>
    <x v="9"/>
    <x v="1"/>
    <x v="8"/>
    <x v="2"/>
  </r>
  <r>
    <x v="1555"/>
    <x v="3"/>
    <x v="4"/>
    <n v="66.7"/>
    <n v="800.40000000000009"/>
    <x v="57"/>
    <d v="2025-03-02T00:00:00"/>
    <x v="0"/>
    <x v="0"/>
    <x v="2"/>
    <x v="0"/>
    <x v="11"/>
    <x v="2"/>
    <x v="8"/>
    <x v="0"/>
  </r>
  <r>
    <x v="1556"/>
    <x v="1"/>
    <x v="12"/>
    <n v="33.1"/>
    <n v="132.4"/>
    <x v="57"/>
    <d v="2025-03-04T00:00:00"/>
    <x v="1"/>
    <x v="3"/>
    <x v="0"/>
    <x v="0"/>
    <x v="11"/>
    <x v="0"/>
    <x v="8"/>
    <x v="1"/>
  </r>
  <r>
    <x v="1557"/>
    <x v="19"/>
    <x v="11"/>
    <n v="42.1"/>
    <n v="378.90000000000003"/>
    <x v="57"/>
    <d v="2025-03-10T00:00:00"/>
    <x v="1"/>
    <x v="1"/>
    <x v="0"/>
    <x v="0"/>
    <x v="18"/>
    <x v="11"/>
    <x v="8"/>
    <x v="1"/>
  </r>
  <r>
    <x v="1558"/>
    <x v="18"/>
    <x v="3"/>
    <n v="58.7"/>
    <n v="410.90000000000003"/>
    <x v="57"/>
    <d v="2025-02-27T00:00:00"/>
    <x v="3"/>
    <x v="3"/>
    <x v="0"/>
    <x v="0"/>
    <x v="31"/>
    <x v="7"/>
    <x v="8"/>
    <x v="3"/>
  </r>
  <r>
    <x v="1559"/>
    <x v="6"/>
    <x v="12"/>
    <n v="54"/>
    <n v="216"/>
    <x v="57"/>
    <d v="2025-03-01T00:00:00"/>
    <x v="2"/>
    <x v="1"/>
    <x v="0"/>
    <x v="0"/>
    <x v="1"/>
    <x v="1"/>
    <x v="8"/>
    <x v="2"/>
  </r>
  <r>
    <x v="1560"/>
    <x v="8"/>
    <x v="0"/>
    <n v="52.1"/>
    <n v="52.1"/>
    <x v="57"/>
    <d v="2025-02-28T00:00:00"/>
    <x v="2"/>
    <x v="2"/>
    <x v="2"/>
    <x v="0"/>
    <x v="2"/>
    <x v="3"/>
    <x v="8"/>
    <x v="2"/>
  </r>
  <r>
    <x v="1561"/>
    <x v="19"/>
    <x v="1"/>
    <n v="27"/>
    <n v="54"/>
    <x v="57"/>
    <d v="2025-03-02T00:00:00"/>
    <x v="3"/>
    <x v="2"/>
    <x v="0"/>
    <x v="0"/>
    <x v="22"/>
    <x v="2"/>
    <x v="8"/>
    <x v="3"/>
  </r>
  <r>
    <x v="1562"/>
    <x v="12"/>
    <x v="7"/>
    <n v="31"/>
    <n v="310"/>
    <x v="58"/>
    <d v="2025-03-01T00:00:00"/>
    <x v="2"/>
    <x v="3"/>
    <x v="2"/>
    <x v="0"/>
    <x v="22"/>
    <x v="3"/>
    <x v="8"/>
    <x v="2"/>
  </r>
  <r>
    <x v="1563"/>
    <x v="10"/>
    <x v="1"/>
    <n v="46.7"/>
    <n v="93.4"/>
    <x v="58"/>
    <d v="2025-02-28T00:00:00"/>
    <x v="2"/>
    <x v="0"/>
    <x v="0"/>
    <x v="0"/>
    <x v="34"/>
    <x v="7"/>
    <x v="8"/>
    <x v="2"/>
  </r>
  <r>
    <x v="1564"/>
    <x v="6"/>
    <x v="0"/>
    <n v="144.69999999999999"/>
    <n v="144.69999999999999"/>
    <x v="58"/>
    <d v="2025-03-03T00:00:00"/>
    <x v="1"/>
    <x v="0"/>
    <x v="2"/>
    <x v="0"/>
    <x v="3"/>
    <x v="2"/>
    <x v="8"/>
    <x v="1"/>
  </r>
  <r>
    <x v="1565"/>
    <x v="2"/>
    <x v="11"/>
    <n v="90.9"/>
    <n v="818.1"/>
    <x v="58"/>
    <d v="2025-03-01T00:00:00"/>
    <x v="1"/>
    <x v="0"/>
    <x v="2"/>
    <x v="0"/>
    <x v="3"/>
    <x v="3"/>
    <x v="8"/>
    <x v="1"/>
  </r>
  <r>
    <x v="1566"/>
    <x v="1"/>
    <x v="1"/>
    <n v="75.8"/>
    <n v="151.6"/>
    <x v="58"/>
    <d v="2025-03-01T00:00:00"/>
    <x v="2"/>
    <x v="2"/>
    <x v="1"/>
    <x v="0"/>
    <x v="3"/>
    <x v="3"/>
    <x v="8"/>
    <x v="2"/>
  </r>
  <r>
    <x v="1567"/>
    <x v="7"/>
    <x v="9"/>
    <n v="57.9"/>
    <n v="289.5"/>
    <x v="58"/>
    <d v="2025-03-02T00:00:00"/>
    <x v="1"/>
    <x v="2"/>
    <x v="2"/>
    <x v="0"/>
    <x v="3"/>
    <x v="1"/>
    <x v="8"/>
    <x v="1"/>
  </r>
  <r>
    <x v="1568"/>
    <x v="8"/>
    <x v="9"/>
    <n v="44.8"/>
    <n v="224"/>
    <x v="58"/>
    <d v="2025-03-01T00:00:00"/>
    <x v="2"/>
    <x v="3"/>
    <x v="2"/>
    <x v="0"/>
    <x v="3"/>
    <x v="3"/>
    <x v="8"/>
    <x v="2"/>
  </r>
  <r>
    <x v="1569"/>
    <x v="9"/>
    <x v="2"/>
    <n v="44.2"/>
    <n v="132.60000000000002"/>
    <x v="58"/>
    <d v="2025-03-04T00:00:00"/>
    <x v="1"/>
    <x v="2"/>
    <x v="2"/>
    <x v="0"/>
    <x v="3"/>
    <x v="5"/>
    <x v="8"/>
    <x v="1"/>
  </r>
  <r>
    <x v="1570"/>
    <x v="5"/>
    <x v="9"/>
    <n v="53.5"/>
    <n v="267.5"/>
    <x v="58"/>
    <d v="2025-03-02T00:00:00"/>
    <x v="1"/>
    <x v="0"/>
    <x v="0"/>
    <x v="0"/>
    <x v="37"/>
    <x v="1"/>
    <x v="8"/>
    <x v="1"/>
  </r>
  <r>
    <x v="1571"/>
    <x v="6"/>
    <x v="1"/>
    <n v="72.2"/>
    <n v="144.4"/>
    <x v="58"/>
    <d v="2025-03-01T00:00:00"/>
    <x v="1"/>
    <x v="0"/>
    <x v="2"/>
    <x v="0"/>
    <x v="25"/>
    <x v="3"/>
    <x v="8"/>
    <x v="1"/>
  </r>
  <r>
    <x v="1572"/>
    <x v="6"/>
    <x v="12"/>
    <n v="62.4"/>
    <n v="249.6"/>
    <x v="58"/>
    <d v="2025-03-03T00:00:00"/>
    <x v="2"/>
    <x v="0"/>
    <x v="1"/>
    <x v="0"/>
    <x v="23"/>
    <x v="2"/>
    <x v="8"/>
    <x v="2"/>
  </r>
  <r>
    <x v="1573"/>
    <x v="10"/>
    <x v="9"/>
    <n v="24.7"/>
    <n v="123.5"/>
    <x v="58"/>
    <d v="2025-03-01T00:00:00"/>
    <x v="2"/>
    <x v="0"/>
    <x v="0"/>
    <x v="0"/>
    <x v="6"/>
    <x v="3"/>
    <x v="8"/>
    <x v="2"/>
  </r>
  <r>
    <x v="1574"/>
    <x v="1"/>
    <x v="9"/>
    <n v="61.7"/>
    <n v="308.5"/>
    <x v="58"/>
    <d v="2025-03-02T00:00:00"/>
    <x v="2"/>
    <x v="2"/>
    <x v="0"/>
    <x v="0"/>
    <x v="8"/>
    <x v="1"/>
    <x v="8"/>
    <x v="2"/>
  </r>
  <r>
    <x v="1575"/>
    <x v="8"/>
    <x v="9"/>
    <n v="18.2"/>
    <n v="91"/>
    <x v="58"/>
    <d v="2025-03-02T00:00:00"/>
    <x v="2"/>
    <x v="3"/>
    <x v="0"/>
    <x v="0"/>
    <x v="8"/>
    <x v="1"/>
    <x v="8"/>
    <x v="2"/>
  </r>
  <r>
    <x v="1576"/>
    <x v="10"/>
    <x v="12"/>
    <n v="37.200000000000003"/>
    <n v="148.80000000000001"/>
    <x v="58"/>
    <d v="2025-03-06T00:00:00"/>
    <x v="2"/>
    <x v="0"/>
    <x v="0"/>
    <x v="0"/>
    <x v="8"/>
    <x v="4"/>
    <x v="8"/>
    <x v="2"/>
  </r>
  <r>
    <x v="1577"/>
    <x v="9"/>
    <x v="2"/>
    <n v="53.5"/>
    <n v="160.5"/>
    <x v="58"/>
    <d v="2025-03-02T00:00:00"/>
    <x v="2"/>
    <x v="1"/>
    <x v="2"/>
    <x v="0"/>
    <x v="9"/>
    <x v="1"/>
    <x v="8"/>
    <x v="2"/>
  </r>
  <r>
    <x v="1578"/>
    <x v="8"/>
    <x v="2"/>
    <n v="43.6"/>
    <n v="130.80000000000001"/>
    <x v="58"/>
    <d v="2025-02-28T00:00:00"/>
    <x v="2"/>
    <x v="0"/>
    <x v="0"/>
    <x v="0"/>
    <x v="9"/>
    <x v="7"/>
    <x v="8"/>
    <x v="2"/>
  </r>
  <r>
    <x v="1579"/>
    <x v="1"/>
    <x v="7"/>
    <n v="135"/>
    <n v="1350"/>
    <x v="58"/>
    <d v="2025-03-02T00:00:00"/>
    <x v="2"/>
    <x v="0"/>
    <x v="2"/>
    <x v="0"/>
    <x v="9"/>
    <x v="1"/>
    <x v="8"/>
    <x v="2"/>
  </r>
  <r>
    <x v="1580"/>
    <x v="8"/>
    <x v="9"/>
    <n v="38.5"/>
    <n v="192.5"/>
    <x v="58"/>
    <d v="2025-02-28T00:00:00"/>
    <x v="1"/>
    <x v="4"/>
    <x v="2"/>
    <x v="0"/>
    <x v="10"/>
    <x v="7"/>
    <x v="8"/>
    <x v="1"/>
  </r>
  <r>
    <x v="1581"/>
    <x v="9"/>
    <x v="1"/>
    <n v="24"/>
    <n v="48"/>
    <x v="58"/>
    <d v="2025-03-05T00:00:00"/>
    <x v="2"/>
    <x v="0"/>
    <x v="0"/>
    <x v="0"/>
    <x v="11"/>
    <x v="0"/>
    <x v="8"/>
    <x v="2"/>
  </r>
  <r>
    <x v="1582"/>
    <x v="4"/>
    <x v="2"/>
    <n v="28.2"/>
    <n v="84.6"/>
    <x v="58"/>
    <d v="2025-03-02T00:00:00"/>
    <x v="1"/>
    <x v="0"/>
    <x v="3"/>
    <x v="0"/>
    <x v="18"/>
    <x v="1"/>
    <x v="8"/>
    <x v="1"/>
  </r>
  <r>
    <x v="1583"/>
    <x v="7"/>
    <x v="2"/>
    <n v="37.4"/>
    <n v="112.19999999999999"/>
    <x v="58"/>
    <d v="2025-03-01T00:00:00"/>
    <x v="2"/>
    <x v="3"/>
    <x v="0"/>
    <x v="0"/>
    <x v="1"/>
    <x v="3"/>
    <x v="8"/>
    <x v="2"/>
  </r>
  <r>
    <x v="1584"/>
    <x v="6"/>
    <x v="2"/>
    <n v="53.5"/>
    <n v="160.5"/>
    <x v="58"/>
    <d v="2025-03-03T00:00:00"/>
    <x v="0"/>
    <x v="4"/>
    <x v="4"/>
    <x v="0"/>
    <x v="1"/>
    <x v="2"/>
    <x v="8"/>
    <x v="0"/>
  </r>
  <r>
    <x v="1585"/>
    <x v="11"/>
    <x v="9"/>
    <n v="36.200000000000003"/>
    <n v="181"/>
    <x v="58"/>
    <d v="2025-03-01T00:00:00"/>
    <x v="1"/>
    <x v="1"/>
    <x v="2"/>
    <x v="0"/>
    <x v="33"/>
    <x v="3"/>
    <x v="8"/>
    <x v="1"/>
  </r>
  <r>
    <x v="1586"/>
    <x v="0"/>
    <x v="8"/>
    <n v="31.9"/>
    <n v="255.2"/>
    <x v="58"/>
    <d v="2025-03-01T00:00:00"/>
    <x v="2"/>
    <x v="4"/>
    <x v="0"/>
    <x v="0"/>
    <x v="3"/>
    <x v="3"/>
    <x v="8"/>
    <x v="2"/>
  </r>
  <r>
    <x v="1587"/>
    <x v="8"/>
    <x v="2"/>
    <n v="21.3"/>
    <n v="63.900000000000006"/>
    <x v="58"/>
    <d v="2025-03-01T00:00:00"/>
    <x v="1"/>
    <x v="0"/>
    <x v="2"/>
    <x v="0"/>
    <x v="3"/>
    <x v="3"/>
    <x v="8"/>
    <x v="1"/>
  </r>
  <r>
    <x v="1588"/>
    <x v="8"/>
    <x v="0"/>
    <n v="36.299999999999997"/>
    <n v="36.299999999999997"/>
    <x v="58"/>
    <d v="2025-03-02T00:00:00"/>
    <x v="3"/>
    <x v="4"/>
    <x v="0"/>
    <x v="0"/>
    <x v="3"/>
    <x v="1"/>
    <x v="8"/>
    <x v="3"/>
  </r>
  <r>
    <x v="1589"/>
    <x v="6"/>
    <x v="2"/>
    <n v="110.5"/>
    <n v="331.5"/>
    <x v="58"/>
    <d v="2025-03-01T00:00:00"/>
    <x v="2"/>
    <x v="0"/>
    <x v="3"/>
    <x v="0"/>
    <x v="3"/>
    <x v="3"/>
    <x v="8"/>
    <x v="2"/>
  </r>
  <r>
    <x v="1590"/>
    <x v="10"/>
    <x v="3"/>
    <n v="32.6"/>
    <n v="228.20000000000002"/>
    <x v="58"/>
    <d v="2025-03-02T00:00:00"/>
    <x v="2"/>
    <x v="0"/>
    <x v="1"/>
    <x v="0"/>
    <x v="3"/>
    <x v="1"/>
    <x v="8"/>
    <x v="2"/>
  </r>
  <r>
    <x v="1591"/>
    <x v="5"/>
    <x v="2"/>
    <n v="55.6"/>
    <n v="166.8"/>
    <x v="59"/>
    <d v="2025-03-14T00:00:00"/>
    <x v="2"/>
    <x v="0"/>
    <x v="0"/>
    <x v="0"/>
    <x v="3"/>
    <x v="10"/>
    <x v="8"/>
    <x v="2"/>
  </r>
  <r>
    <x v="1592"/>
    <x v="1"/>
    <x v="12"/>
    <n v="38"/>
    <n v="152"/>
    <x v="59"/>
    <d v="2025-03-02T00:00:00"/>
    <x v="2"/>
    <x v="3"/>
    <x v="2"/>
    <x v="0"/>
    <x v="5"/>
    <x v="3"/>
    <x v="8"/>
    <x v="2"/>
  </r>
  <r>
    <x v="1593"/>
    <x v="10"/>
    <x v="1"/>
    <n v="51.8"/>
    <n v="103.6"/>
    <x v="59"/>
    <d v="2025-03-07T00:00:00"/>
    <x v="1"/>
    <x v="1"/>
    <x v="4"/>
    <x v="0"/>
    <x v="6"/>
    <x v="4"/>
    <x v="8"/>
    <x v="1"/>
  </r>
  <r>
    <x v="1594"/>
    <x v="11"/>
    <x v="8"/>
    <n v="28.7"/>
    <n v="229.6"/>
    <x v="59"/>
    <d v="2025-03-06T00:00:00"/>
    <x v="2"/>
    <x v="0"/>
    <x v="0"/>
    <x v="0"/>
    <x v="6"/>
    <x v="0"/>
    <x v="8"/>
    <x v="2"/>
  </r>
  <r>
    <x v="1595"/>
    <x v="6"/>
    <x v="4"/>
    <n v="52.2"/>
    <n v="626.40000000000009"/>
    <x v="59"/>
    <d v="2025-03-01T00:00:00"/>
    <x v="1"/>
    <x v="0"/>
    <x v="1"/>
    <x v="0"/>
    <x v="6"/>
    <x v="7"/>
    <x v="8"/>
    <x v="1"/>
  </r>
  <r>
    <x v="1596"/>
    <x v="1"/>
    <x v="1"/>
    <n v="68.2"/>
    <n v="136.4"/>
    <x v="59"/>
    <d v="2025-03-02T00:00:00"/>
    <x v="0"/>
    <x v="2"/>
    <x v="0"/>
    <x v="0"/>
    <x v="7"/>
    <x v="3"/>
    <x v="8"/>
    <x v="0"/>
  </r>
  <r>
    <x v="1597"/>
    <x v="0"/>
    <x v="2"/>
    <n v="34"/>
    <n v="102"/>
    <x v="59"/>
    <d v="2025-03-05T00:00:00"/>
    <x v="2"/>
    <x v="0"/>
    <x v="0"/>
    <x v="0"/>
    <x v="8"/>
    <x v="5"/>
    <x v="8"/>
    <x v="2"/>
  </r>
  <r>
    <x v="1598"/>
    <x v="8"/>
    <x v="2"/>
    <n v="19.100000000000001"/>
    <n v="57.300000000000004"/>
    <x v="59"/>
    <d v="2025-03-02T00:00:00"/>
    <x v="2"/>
    <x v="4"/>
    <x v="0"/>
    <x v="0"/>
    <x v="8"/>
    <x v="3"/>
    <x v="8"/>
    <x v="2"/>
  </r>
  <r>
    <x v="1599"/>
    <x v="5"/>
    <x v="8"/>
    <n v="34"/>
    <n v="272"/>
    <x v="59"/>
    <d v="2025-03-09T00:00:00"/>
    <x v="2"/>
    <x v="4"/>
    <x v="0"/>
    <x v="0"/>
    <x v="8"/>
    <x v="9"/>
    <x v="8"/>
    <x v="2"/>
  </r>
  <r>
    <x v="1600"/>
    <x v="12"/>
    <x v="1"/>
    <n v="109.1"/>
    <n v="218.2"/>
    <x v="59"/>
    <d v="2025-03-03T00:00:00"/>
    <x v="1"/>
    <x v="0"/>
    <x v="2"/>
    <x v="0"/>
    <x v="8"/>
    <x v="1"/>
    <x v="8"/>
    <x v="1"/>
  </r>
  <r>
    <x v="1601"/>
    <x v="18"/>
    <x v="1"/>
    <n v="64.8"/>
    <n v="129.6"/>
    <x v="59"/>
    <d v="2025-03-03T00:00:00"/>
    <x v="1"/>
    <x v="0"/>
    <x v="2"/>
    <x v="0"/>
    <x v="8"/>
    <x v="1"/>
    <x v="8"/>
    <x v="1"/>
  </r>
  <r>
    <x v="1602"/>
    <x v="10"/>
    <x v="1"/>
    <n v="21.1"/>
    <n v="42.2"/>
    <x v="59"/>
    <d v="2025-03-01T00:00:00"/>
    <x v="2"/>
    <x v="1"/>
    <x v="0"/>
    <x v="0"/>
    <x v="11"/>
    <x v="7"/>
    <x v="8"/>
    <x v="2"/>
  </r>
  <r>
    <x v="1603"/>
    <x v="0"/>
    <x v="8"/>
    <n v="21.3"/>
    <n v="170.4"/>
    <x v="59"/>
    <d v="2025-03-03T00:00:00"/>
    <x v="1"/>
    <x v="3"/>
    <x v="1"/>
    <x v="0"/>
    <x v="18"/>
    <x v="1"/>
    <x v="8"/>
    <x v="1"/>
  </r>
  <r>
    <x v="1604"/>
    <x v="9"/>
    <x v="2"/>
    <n v="24.3"/>
    <n v="72.900000000000006"/>
    <x v="59"/>
    <d v="2025-03-02T00:00:00"/>
    <x v="1"/>
    <x v="1"/>
    <x v="0"/>
    <x v="0"/>
    <x v="19"/>
    <x v="3"/>
    <x v="8"/>
    <x v="1"/>
  </r>
  <r>
    <x v="1605"/>
    <x v="8"/>
    <x v="0"/>
    <n v="43.3"/>
    <n v="43.3"/>
    <x v="59"/>
    <d v="2025-03-05T00:00:00"/>
    <x v="1"/>
    <x v="1"/>
    <x v="1"/>
    <x v="0"/>
    <x v="13"/>
    <x v="5"/>
    <x v="8"/>
    <x v="1"/>
  </r>
  <r>
    <x v="1606"/>
    <x v="9"/>
    <x v="2"/>
    <n v="41"/>
    <n v="123"/>
    <x v="59"/>
    <d v="2025-03-02T00:00:00"/>
    <x v="2"/>
    <x v="3"/>
    <x v="4"/>
    <x v="0"/>
    <x v="21"/>
    <x v="3"/>
    <x v="8"/>
    <x v="2"/>
  </r>
  <r>
    <x v="1607"/>
    <x v="16"/>
    <x v="2"/>
    <n v="54.1"/>
    <n v="162.30000000000001"/>
    <x v="59"/>
    <d v="2025-03-03T00:00:00"/>
    <x v="2"/>
    <x v="4"/>
    <x v="0"/>
    <x v="0"/>
    <x v="21"/>
    <x v="1"/>
    <x v="8"/>
    <x v="2"/>
  </r>
  <r>
    <x v="1608"/>
    <x v="11"/>
    <x v="1"/>
    <n v="39"/>
    <n v="78"/>
    <x v="59"/>
    <d v="2025-03-02T00:00:00"/>
    <x v="1"/>
    <x v="1"/>
    <x v="2"/>
    <x v="0"/>
    <x v="1"/>
    <x v="3"/>
    <x v="8"/>
    <x v="1"/>
  </r>
  <r>
    <x v="1609"/>
    <x v="8"/>
    <x v="1"/>
    <n v="40.299999999999997"/>
    <n v="80.599999999999994"/>
    <x v="59"/>
    <d v="2025-03-03T00:00:00"/>
    <x v="1"/>
    <x v="3"/>
    <x v="0"/>
    <x v="0"/>
    <x v="27"/>
    <x v="1"/>
    <x v="8"/>
    <x v="1"/>
  </r>
  <r>
    <x v="1610"/>
    <x v="8"/>
    <x v="2"/>
    <n v="24.1"/>
    <n v="72.300000000000011"/>
    <x v="59"/>
    <d v="2025-03-02T00:00:00"/>
    <x v="1"/>
    <x v="0"/>
    <x v="2"/>
    <x v="0"/>
    <x v="34"/>
    <x v="3"/>
    <x v="8"/>
    <x v="1"/>
  </r>
  <r>
    <x v="1611"/>
    <x v="6"/>
    <x v="9"/>
    <n v="52.3"/>
    <n v="261.5"/>
    <x v="59"/>
    <d v="2025-03-02T00:00:00"/>
    <x v="1"/>
    <x v="2"/>
    <x v="0"/>
    <x v="0"/>
    <x v="3"/>
    <x v="3"/>
    <x v="8"/>
    <x v="1"/>
  </r>
  <r>
    <x v="1612"/>
    <x v="12"/>
    <x v="12"/>
    <n v="68.8"/>
    <n v="275.2"/>
    <x v="59"/>
    <d v="2025-03-05T00:00:00"/>
    <x v="2"/>
    <x v="4"/>
    <x v="2"/>
    <x v="0"/>
    <x v="3"/>
    <x v="5"/>
    <x v="8"/>
    <x v="2"/>
  </r>
  <r>
    <x v="1613"/>
    <x v="2"/>
    <x v="1"/>
    <n v="128.80000000000001"/>
    <n v="257.60000000000002"/>
    <x v="60"/>
    <d v="2025-03-05T00:00:00"/>
    <x v="2"/>
    <x v="1"/>
    <x v="1"/>
    <x v="0"/>
    <x v="3"/>
    <x v="2"/>
    <x v="9"/>
    <x v="2"/>
  </r>
  <r>
    <x v="1614"/>
    <x v="15"/>
    <x v="9"/>
    <n v="48.2"/>
    <n v="241"/>
    <x v="60"/>
    <d v="2025-03-04T00:00:00"/>
    <x v="2"/>
    <x v="3"/>
    <x v="0"/>
    <x v="0"/>
    <x v="3"/>
    <x v="1"/>
    <x v="9"/>
    <x v="2"/>
  </r>
  <r>
    <x v="1615"/>
    <x v="10"/>
    <x v="0"/>
    <n v="39.700000000000003"/>
    <n v="39.700000000000003"/>
    <x v="60"/>
    <d v="2025-03-04T00:00:00"/>
    <x v="2"/>
    <x v="0"/>
    <x v="1"/>
    <x v="0"/>
    <x v="3"/>
    <x v="1"/>
    <x v="9"/>
    <x v="2"/>
  </r>
  <r>
    <x v="1616"/>
    <x v="9"/>
    <x v="0"/>
    <n v="59.7"/>
    <n v="59.7"/>
    <x v="60"/>
    <d v="2025-03-05T00:00:00"/>
    <x v="2"/>
    <x v="4"/>
    <x v="0"/>
    <x v="0"/>
    <x v="3"/>
    <x v="2"/>
    <x v="9"/>
    <x v="2"/>
  </r>
  <r>
    <x v="1617"/>
    <x v="6"/>
    <x v="0"/>
    <n v="48.3"/>
    <n v="48.3"/>
    <x v="60"/>
    <d v="2025-03-16T00:00:00"/>
    <x v="3"/>
    <x v="0"/>
    <x v="2"/>
    <x v="0"/>
    <x v="3"/>
    <x v="12"/>
    <x v="9"/>
    <x v="3"/>
  </r>
  <r>
    <x v="1618"/>
    <x v="8"/>
    <x v="2"/>
    <n v="45.5"/>
    <n v="136.5"/>
    <x v="60"/>
    <d v="2025-03-04T00:00:00"/>
    <x v="1"/>
    <x v="2"/>
    <x v="1"/>
    <x v="0"/>
    <x v="3"/>
    <x v="1"/>
    <x v="9"/>
    <x v="1"/>
  </r>
  <r>
    <x v="1619"/>
    <x v="9"/>
    <x v="6"/>
    <n v="51"/>
    <n v="1377"/>
    <x v="60"/>
    <d v="2025-03-02T00:00:00"/>
    <x v="2"/>
    <x v="2"/>
    <x v="0"/>
    <x v="0"/>
    <x v="3"/>
    <x v="7"/>
    <x v="9"/>
    <x v="2"/>
  </r>
  <r>
    <x v="1620"/>
    <x v="4"/>
    <x v="13"/>
    <n v="20.399999999999999"/>
    <n v="122.39999999999999"/>
    <x v="60"/>
    <d v="2025-03-03T00:00:00"/>
    <x v="1"/>
    <x v="2"/>
    <x v="0"/>
    <x v="0"/>
    <x v="3"/>
    <x v="3"/>
    <x v="9"/>
    <x v="1"/>
  </r>
  <r>
    <x v="1621"/>
    <x v="10"/>
    <x v="1"/>
    <n v="30.4"/>
    <n v="60.8"/>
    <x v="60"/>
    <d v="2025-03-04T00:00:00"/>
    <x v="1"/>
    <x v="2"/>
    <x v="0"/>
    <x v="0"/>
    <x v="3"/>
    <x v="1"/>
    <x v="9"/>
    <x v="1"/>
  </r>
  <r>
    <x v="1622"/>
    <x v="7"/>
    <x v="1"/>
    <n v="71.5"/>
    <n v="143"/>
    <x v="60"/>
    <d v="2025-03-06T00:00:00"/>
    <x v="2"/>
    <x v="0"/>
    <x v="0"/>
    <x v="0"/>
    <x v="3"/>
    <x v="5"/>
    <x v="9"/>
    <x v="2"/>
  </r>
  <r>
    <x v="1623"/>
    <x v="8"/>
    <x v="13"/>
    <n v="18"/>
    <n v="108"/>
    <x v="60"/>
    <d v="2025-03-03T00:00:00"/>
    <x v="3"/>
    <x v="1"/>
    <x v="2"/>
    <x v="0"/>
    <x v="6"/>
    <x v="3"/>
    <x v="9"/>
    <x v="3"/>
  </r>
  <r>
    <x v="1624"/>
    <x v="15"/>
    <x v="5"/>
    <n v="45.6"/>
    <n v="501.6"/>
    <x v="60"/>
    <d v="2025-03-03T00:00:00"/>
    <x v="3"/>
    <x v="1"/>
    <x v="1"/>
    <x v="0"/>
    <x v="7"/>
    <x v="3"/>
    <x v="9"/>
    <x v="3"/>
  </r>
  <r>
    <x v="1625"/>
    <x v="9"/>
    <x v="0"/>
    <n v="31.8"/>
    <n v="31.8"/>
    <x v="60"/>
    <d v="2025-03-06T00:00:00"/>
    <x v="2"/>
    <x v="0"/>
    <x v="2"/>
    <x v="0"/>
    <x v="7"/>
    <x v="5"/>
    <x v="9"/>
    <x v="2"/>
  </r>
  <r>
    <x v="1626"/>
    <x v="8"/>
    <x v="9"/>
    <n v="19.899999999999999"/>
    <n v="99.5"/>
    <x v="60"/>
    <d v="2025-03-03T00:00:00"/>
    <x v="2"/>
    <x v="1"/>
    <x v="0"/>
    <x v="0"/>
    <x v="7"/>
    <x v="3"/>
    <x v="9"/>
    <x v="2"/>
  </r>
  <r>
    <x v="1627"/>
    <x v="12"/>
    <x v="11"/>
    <n v="52.1"/>
    <n v="468.90000000000003"/>
    <x v="60"/>
    <d v="2025-03-04T00:00:00"/>
    <x v="1"/>
    <x v="0"/>
    <x v="0"/>
    <x v="0"/>
    <x v="8"/>
    <x v="1"/>
    <x v="9"/>
    <x v="1"/>
  </r>
  <r>
    <x v="1628"/>
    <x v="1"/>
    <x v="3"/>
    <n v="45.9"/>
    <n v="321.3"/>
    <x v="60"/>
    <d v="2025-03-03T00:00:00"/>
    <x v="1"/>
    <x v="0"/>
    <x v="1"/>
    <x v="0"/>
    <x v="8"/>
    <x v="3"/>
    <x v="9"/>
    <x v="1"/>
  </r>
  <r>
    <x v="1629"/>
    <x v="1"/>
    <x v="7"/>
    <n v="115.9"/>
    <n v="1159"/>
    <x v="60"/>
    <d v="2025-03-05T00:00:00"/>
    <x v="2"/>
    <x v="1"/>
    <x v="0"/>
    <x v="0"/>
    <x v="8"/>
    <x v="2"/>
    <x v="9"/>
    <x v="2"/>
  </r>
  <r>
    <x v="1630"/>
    <x v="6"/>
    <x v="11"/>
    <n v="86"/>
    <n v="774"/>
    <x v="60"/>
    <d v="2025-03-07T00:00:00"/>
    <x v="2"/>
    <x v="0"/>
    <x v="1"/>
    <x v="0"/>
    <x v="8"/>
    <x v="0"/>
    <x v="9"/>
    <x v="2"/>
  </r>
  <r>
    <x v="1631"/>
    <x v="7"/>
    <x v="3"/>
    <n v="73.599999999999994"/>
    <n v="515.19999999999993"/>
    <x v="60"/>
    <d v="2025-03-04T00:00:00"/>
    <x v="2"/>
    <x v="0"/>
    <x v="0"/>
    <x v="0"/>
    <x v="17"/>
    <x v="1"/>
    <x v="9"/>
    <x v="2"/>
  </r>
  <r>
    <x v="1632"/>
    <x v="10"/>
    <x v="2"/>
    <n v="26.7"/>
    <n v="80.099999999999994"/>
    <x v="60"/>
    <d v="2025-03-06T00:00:00"/>
    <x v="2"/>
    <x v="0"/>
    <x v="0"/>
    <x v="0"/>
    <x v="11"/>
    <x v="5"/>
    <x v="9"/>
    <x v="2"/>
  </r>
  <r>
    <x v="1633"/>
    <x v="8"/>
    <x v="3"/>
    <n v="46.6"/>
    <n v="326.2"/>
    <x v="60"/>
    <d v="2025-03-04T00:00:00"/>
    <x v="0"/>
    <x v="3"/>
    <x v="0"/>
    <x v="0"/>
    <x v="11"/>
    <x v="1"/>
    <x v="9"/>
    <x v="0"/>
  </r>
  <r>
    <x v="1634"/>
    <x v="3"/>
    <x v="2"/>
    <n v="84.6"/>
    <n v="253.79999999999998"/>
    <x v="60"/>
    <d v="2025-03-04T00:00:00"/>
    <x v="1"/>
    <x v="4"/>
    <x v="0"/>
    <x v="0"/>
    <x v="11"/>
    <x v="1"/>
    <x v="9"/>
    <x v="1"/>
  </r>
  <r>
    <x v="1635"/>
    <x v="7"/>
    <x v="21"/>
    <n v="41.5"/>
    <n v="581"/>
    <x v="60"/>
    <d v="2025-03-16T00:00:00"/>
    <x v="1"/>
    <x v="1"/>
    <x v="0"/>
    <x v="0"/>
    <x v="53"/>
    <x v="12"/>
    <x v="9"/>
    <x v="1"/>
  </r>
  <r>
    <x v="1636"/>
    <x v="8"/>
    <x v="0"/>
    <n v="32.799999999999997"/>
    <n v="32.799999999999997"/>
    <x v="60"/>
    <d v="2025-03-05T00:00:00"/>
    <x v="1"/>
    <x v="0"/>
    <x v="2"/>
    <x v="0"/>
    <x v="30"/>
    <x v="2"/>
    <x v="9"/>
    <x v="1"/>
  </r>
  <r>
    <x v="1637"/>
    <x v="4"/>
    <x v="3"/>
    <n v="46.7"/>
    <n v="326.90000000000003"/>
    <x v="60"/>
    <d v="2025-03-04T00:00:00"/>
    <x v="3"/>
    <x v="0"/>
    <x v="2"/>
    <x v="0"/>
    <x v="18"/>
    <x v="1"/>
    <x v="9"/>
    <x v="3"/>
  </r>
  <r>
    <x v="1638"/>
    <x v="15"/>
    <x v="3"/>
    <n v="21"/>
    <n v="147"/>
    <x v="60"/>
    <d v="2025-03-05T00:00:00"/>
    <x v="1"/>
    <x v="2"/>
    <x v="1"/>
    <x v="0"/>
    <x v="21"/>
    <x v="2"/>
    <x v="9"/>
    <x v="1"/>
  </r>
  <r>
    <x v="1639"/>
    <x v="5"/>
    <x v="3"/>
    <n v="29.4"/>
    <n v="205.79999999999998"/>
    <x v="60"/>
    <d v="2025-03-02T00:00:00"/>
    <x v="1"/>
    <x v="3"/>
    <x v="2"/>
    <x v="0"/>
    <x v="21"/>
    <x v="7"/>
    <x v="9"/>
    <x v="1"/>
  </r>
  <r>
    <x v="1640"/>
    <x v="15"/>
    <x v="1"/>
    <n v="32.299999999999997"/>
    <n v="64.599999999999994"/>
    <x v="60"/>
    <d v="2025-03-03T00:00:00"/>
    <x v="1"/>
    <x v="0"/>
    <x v="2"/>
    <x v="0"/>
    <x v="21"/>
    <x v="3"/>
    <x v="9"/>
    <x v="1"/>
  </r>
  <r>
    <x v="1641"/>
    <x v="6"/>
    <x v="0"/>
    <n v="42.2"/>
    <n v="42.2"/>
    <x v="61"/>
    <d v="2025-03-05T00:00:00"/>
    <x v="2"/>
    <x v="0"/>
    <x v="2"/>
    <x v="0"/>
    <x v="21"/>
    <x v="1"/>
    <x v="9"/>
    <x v="2"/>
  </r>
  <r>
    <x v="1642"/>
    <x v="6"/>
    <x v="0"/>
    <n v="53.7"/>
    <n v="53.7"/>
    <x v="61"/>
    <d v="2025-03-05T00:00:00"/>
    <x v="1"/>
    <x v="1"/>
    <x v="1"/>
    <x v="0"/>
    <x v="1"/>
    <x v="1"/>
    <x v="9"/>
    <x v="1"/>
  </r>
  <r>
    <x v="1643"/>
    <x v="2"/>
    <x v="1"/>
    <n v="123.9"/>
    <n v="247.8"/>
    <x v="61"/>
    <d v="2025-03-06T00:00:00"/>
    <x v="1"/>
    <x v="2"/>
    <x v="0"/>
    <x v="0"/>
    <x v="1"/>
    <x v="2"/>
    <x v="9"/>
    <x v="1"/>
  </r>
  <r>
    <x v="1644"/>
    <x v="4"/>
    <x v="2"/>
    <n v="35.9"/>
    <n v="107.69999999999999"/>
    <x v="61"/>
    <d v="2025-03-05T00:00:00"/>
    <x v="1"/>
    <x v="2"/>
    <x v="0"/>
    <x v="0"/>
    <x v="22"/>
    <x v="1"/>
    <x v="9"/>
    <x v="1"/>
  </r>
  <r>
    <x v="1645"/>
    <x v="4"/>
    <x v="1"/>
    <n v="23.6"/>
    <n v="47.2"/>
    <x v="61"/>
    <d v="2025-03-06T00:00:00"/>
    <x v="1"/>
    <x v="0"/>
    <x v="2"/>
    <x v="0"/>
    <x v="3"/>
    <x v="2"/>
    <x v="9"/>
    <x v="1"/>
  </r>
  <r>
    <x v="1646"/>
    <x v="15"/>
    <x v="36"/>
    <n v="45.7"/>
    <n v="1599.5"/>
    <x v="61"/>
    <d v="2025-03-04T00:00:00"/>
    <x v="1"/>
    <x v="0"/>
    <x v="1"/>
    <x v="0"/>
    <x v="3"/>
    <x v="3"/>
    <x v="9"/>
    <x v="1"/>
  </r>
  <r>
    <x v="1647"/>
    <x v="6"/>
    <x v="5"/>
    <n v="118.3"/>
    <n v="1301.3"/>
    <x v="61"/>
    <d v="2025-03-05T00:00:00"/>
    <x v="1"/>
    <x v="4"/>
    <x v="2"/>
    <x v="0"/>
    <x v="3"/>
    <x v="1"/>
    <x v="9"/>
    <x v="1"/>
  </r>
  <r>
    <x v="1648"/>
    <x v="19"/>
    <x v="0"/>
    <n v="36"/>
    <n v="36"/>
    <x v="61"/>
    <d v="2025-03-04T00:00:00"/>
    <x v="2"/>
    <x v="0"/>
    <x v="1"/>
    <x v="0"/>
    <x v="3"/>
    <x v="3"/>
    <x v="9"/>
    <x v="2"/>
  </r>
  <r>
    <x v="1649"/>
    <x v="8"/>
    <x v="1"/>
    <n v="37.1"/>
    <n v="74.2"/>
    <x v="61"/>
    <d v="2025-03-06T00:00:00"/>
    <x v="2"/>
    <x v="2"/>
    <x v="0"/>
    <x v="0"/>
    <x v="3"/>
    <x v="2"/>
    <x v="9"/>
    <x v="2"/>
  </r>
  <r>
    <x v="1650"/>
    <x v="18"/>
    <x v="2"/>
    <n v="45.1"/>
    <n v="135.30000000000001"/>
    <x v="61"/>
    <d v="2025-03-05T00:00:00"/>
    <x v="2"/>
    <x v="1"/>
    <x v="2"/>
    <x v="0"/>
    <x v="3"/>
    <x v="1"/>
    <x v="9"/>
    <x v="2"/>
  </r>
  <r>
    <x v="1651"/>
    <x v="5"/>
    <x v="27"/>
    <n v="37.9"/>
    <n v="606.4"/>
    <x v="61"/>
    <d v="2025-03-04T00:00:00"/>
    <x v="2"/>
    <x v="3"/>
    <x v="2"/>
    <x v="0"/>
    <x v="3"/>
    <x v="3"/>
    <x v="9"/>
    <x v="2"/>
  </r>
  <r>
    <x v="1652"/>
    <x v="2"/>
    <x v="1"/>
    <n v="121.6"/>
    <n v="243.2"/>
    <x v="61"/>
    <d v="2025-03-06T00:00:00"/>
    <x v="1"/>
    <x v="3"/>
    <x v="2"/>
    <x v="0"/>
    <x v="3"/>
    <x v="2"/>
    <x v="9"/>
    <x v="1"/>
  </r>
  <r>
    <x v="1653"/>
    <x v="5"/>
    <x v="3"/>
    <n v="38.200000000000003"/>
    <n v="267.40000000000003"/>
    <x v="61"/>
    <d v="2025-03-06T00:00:00"/>
    <x v="2"/>
    <x v="0"/>
    <x v="0"/>
    <x v="0"/>
    <x v="3"/>
    <x v="2"/>
    <x v="9"/>
    <x v="2"/>
  </r>
  <r>
    <x v="1654"/>
    <x v="17"/>
    <x v="1"/>
    <n v="37.200000000000003"/>
    <n v="74.400000000000006"/>
    <x v="61"/>
    <d v="2025-03-06T00:00:00"/>
    <x v="1"/>
    <x v="4"/>
    <x v="0"/>
    <x v="0"/>
    <x v="3"/>
    <x v="2"/>
    <x v="9"/>
    <x v="1"/>
  </r>
  <r>
    <x v="1655"/>
    <x v="2"/>
    <x v="12"/>
    <n v="115.7"/>
    <n v="462.8"/>
    <x v="61"/>
    <d v="2025-03-06T00:00:00"/>
    <x v="2"/>
    <x v="1"/>
    <x v="0"/>
    <x v="0"/>
    <x v="3"/>
    <x v="2"/>
    <x v="9"/>
    <x v="2"/>
  </r>
  <r>
    <x v="1656"/>
    <x v="2"/>
    <x v="13"/>
    <n v="99.4"/>
    <n v="596.40000000000009"/>
    <x v="61"/>
    <d v="2025-03-06T00:00:00"/>
    <x v="1"/>
    <x v="0"/>
    <x v="2"/>
    <x v="0"/>
    <x v="3"/>
    <x v="2"/>
    <x v="9"/>
    <x v="1"/>
  </r>
  <r>
    <x v="1657"/>
    <x v="11"/>
    <x v="0"/>
    <n v="38.700000000000003"/>
    <n v="38.700000000000003"/>
    <x v="61"/>
    <d v="2025-03-04T00:00:00"/>
    <x v="2"/>
    <x v="2"/>
    <x v="0"/>
    <x v="0"/>
    <x v="25"/>
    <x v="3"/>
    <x v="9"/>
    <x v="2"/>
  </r>
  <r>
    <x v="1658"/>
    <x v="4"/>
    <x v="1"/>
    <n v="35.5"/>
    <n v="71"/>
    <x v="61"/>
    <d v="2025-03-06T00:00:00"/>
    <x v="1"/>
    <x v="0"/>
    <x v="2"/>
    <x v="0"/>
    <x v="25"/>
    <x v="2"/>
    <x v="9"/>
    <x v="1"/>
  </r>
  <r>
    <x v="1659"/>
    <x v="2"/>
    <x v="12"/>
    <n v="93.3"/>
    <n v="373.2"/>
    <x v="61"/>
    <d v="2025-03-06T00:00:00"/>
    <x v="2"/>
    <x v="0"/>
    <x v="2"/>
    <x v="0"/>
    <x v="6"/>
    <x v="2"/>
    <x v="9"/>
    <x v="2"/>
  </r>
  <r>
    <x v="1660"/>
    <x v="16"/>
    <x v="0"/>
    <n v="31.4"/>
    <n v="31.4"/>
    <x v="61"/>
    <d v="2025-03-08T00:00:00"/>
    <x v="2"/>
    <x v="2"/>
    <x v="2"/>
    <x v="0"/>
    <x v="6"/>
    <x v="0"/>
    <x v="9"/>
    <x v="2"/>
  </r>
  <r>
    <x v="1661"/>
    <x v="1"/>
    <x v="0"/>
    <n v="85.9"/>
    <n v="85.9"/>
    <x v="61"/>
    <d v="2025-03-06T00:00:00"/>
    <x v="1"/>
    <x v="1"/>
    <x v="0"/>
    <x v="0"/>
    <x v="6"/>
    <x v="2"/>
    <x v="9"/>
    <x v="1"/>
  </r>
  <r>
    <x v="1662"/>
    <x v="6"/>
    <x v="8"/>
    <n v="41.7"/>
    <n v="333.6"/>
    <x v="61"/>
    <d v="2025-03-11T00:00:00"/>
    <x v="1"/>
    <x v="0"/>
    <x v="2"/>
    <x v="0"/>
    <x v="7"/>
    <x v="9"/>
    <x v="9"/>
    <x v="1"/>
  </r>
  <r>
    <x v="1663"/>
    <x v="8"/>
    <x v="12"/>
    <n v="31.5"/>
    <n v="126"/>
    <x v="61"/>
    <d v="2025-03-04T00:00:00"/>
    <x v="2"/>
    <x v="0"/>
    <x v="0"/>
    <x v="0"/>
    <x v="7"/>
    <x v="3"/>
    <x v="9"/>
    <x v="2"/>
  </r>
  <r>
    <x v="1664"/>
    <x v="8"/>
    <x v="1"/>
    <n v="36.299999999999997"/>
    <n v="72.599999999999994"/>
    <x v="61"/>
    <d v="2025-03-04T00:00:00"/>
    <x v="2"/>
    <x v="0"/>
    <x v="4"/>
    <x v="0"/>
    <x v="8"/>
    <x v="3"/>
    <x v="9"/>
    <x v="2"/>
  </r>
  <r>
    <x v="1665"/>
    <x v="8"/>
    <x v="2"/>
    <n v="33.4"/>
    <n v="100.19999999999999"/>
    <x v="61"/>
    <d v="2025-03-04T00:00:00"/>
    <x v="2"/>
    <x v="3"/>
    <x v="0"/>
    <x v="0"/>
    <x v="17"/>
    <x v="3"/>
    <x v="9"/>
    <x v="2"/>
  </r>
  <r>
    <x v="1666"/>
    <x v="2"/>
    <x v="2"/>
    <n v="65.2"/>
    <n v="195.60000000000002"/>
    <x v="61"/>
    <d v="2025-03-04T00:00:00"/>
    <x v="2"/>
    <x v="2"/>
    <x v="2"/>
    <x v="0"/>
    <x v="26"/>
    <x v="3"/>
    <x v="9"/>
    <x v="2"/>
  </r>
  <r>
    <x v="1667"/>
    <x v="8"/>
    <x v="11"/>
    <n v="65.5"/>
    <n v="589.5"/>
    <x v="61"/>
    <d v="2025-03-06T00:00:00"/>
    <x v="2"/>
    <x v="0"/>
    <x v="2"/>
    <x v="0"/>
    <x v="9"/>
    <x v="2"/>
    <x v="9"/>
    <x v="2"/>
  </r>
  <r>
    <x v="1668"/>
    <x v="6"/>
    <x v="2"/>
    <n v="52.8"/>
    <n v="158.39999999999998"/>
    <x v="61"/>
    <d v="2025-03-06T00:00:00"/>
    <x v="1"/>
    <x v="2"/>
    <x v="0"/>
    <x v="0"/>
    <x v="9"/>
    <x v="2"/>
    <x v="9"/>
    <x v="1"/>
  </r>
  <r>
    <x v="1669"/>
    <x v="9"/>
    <x v="9"/>
    <n v="24"/>
    <n v="120"/>
    <x v="61"/>
    <d v="2025-03-07T00:00:00"/>
    <x v="1"/>
    <x v="0"/>
    <x v="1"/>
    <x v="0"/>
    <x v="11"/>
    <x v="5"/>
    <x v="9"/>
    <x v="1"/>
  </r>
  <r>
    <x v="1670"/>
    <x v="3"/>
    <x v="2"/>
    <n v="51.2"/>
    <n v="153.60000000000002"/>
    <x v="61"/>
    <d v="2025-03-04T00:00:00"/>
    <x v="2"/>
    <x v="0"/>
    <x v="0"/>
    <x v="0"/>
    <x v="32"/>
    <x v="3"/>
    <x v="9"/>
    <x v="2"/>
  </r>
  <r>
    <x v="1671"/>
    <x v="5"/>
    <x v="2"/>
    <n v="28.3"/>
    <n v="84.9"/>
    <x v="61"/>
    <d v="2025-03-05T00:00:00"/>
    <x v="1"/>
    <x v="4"/>
    <x v="0"/>
    <x v="0"/>
    <x v="19"/>
    <x v="1"/>
    <x v="9"/>
    <x v="1"/>
  </r>
  <r>
    <x v="1672"/>
    <x v="6"/>
    <x v="2"/>
    <n v="42.3"/>
    <n v="126.89999999999999"/>
    <x v="61"/>
    <d v="2025-03-03T00:00:00"/>
    <x v="2"/>
    <x v="2"/>
    <x v="1"/>
    <x v="0"/>
    <x v="19"/>
    <x v="7"/>
    <x v="9"/>
    <x v="2"/>
  </r>
  <r>
    <x v="1673"/>
    <x v="2"/>
    <x v="8"/>
    <n v="163.30000000000001"/>
    <n v="1306.4000000000001"/>
    <x v="62"/>
    <d v="2025-03-05T00:00:00"/>
    <x v="2"/>
    <x v="1"/>
    <x v="0"/>
    <x v="0"/>
    <x v="13"/>
    <x v="3"/>
    <x v="9"/>
    <x v="2"/>
  </r>
  <r>
    <x v="1674"/>
    <x v="6"/>
    <x v="3"/>
    <n v="47.3"/>
    <n v="331.09999999999997"/>
    <x v="62"/>
    <d v="2025-03-07T00:00:00"/>
    <x v="2"/>
    <x v="4"/>
    <x v="1"/>
    <x v="0"/>
    <x v="21"/>
    <x v="2"/>
    <x v="9"/>
    <x v="2"/>
  </r>
  <r>
    <x v="1675"/>
    <x v="8"/>
    <x v="27"/>
    <n v="27.3"/>
    <n v="436.8"/>
    <x v="62"/>
    <d v="2025-03-05T00:00:00"/>
    <x v="2"/>
    <x v="2"/>
    <x v="0"/>
    <x v="0"/>
    <x v="21"/>
    <x v="3"/>
    <x v="9"/>
    <x v="2"/>
  </r>
  <r>
    <x v="1676"/>
    <x v="10"/>
    <x v="13"/>
    <n v="34.9"/>
    <n v="209.39999999999998"/>
    <x v="62"/>
    <d v="2025-03-15T00:00:00"/>
    <x v="2"/>
    <x v="0"/>
    <x v="0"/>
    <x v="0"/>
    <x v="21"/>
    <x v="11"/>
    <x v="9"/>
    <x v="2"/>
  </r>
  <r>
    <x v="1677"/>
    <x v="6"/>
    <x v="1"/>
    <n v="53.9"/>
    <n v="107.8"/>
    <x v="62"/>
    <d v="2025-03-07T00:00:00"/>
    <x v="3"/>
    <x v="0"/>
    <x v="4"/>
    <x v="0"/>
    <x v="1"/>
    <x v="2"/>
    <x v="9"/>
    <x v="3"/>
  </r>
  <r>
    <x v="1678"/>
    <x v="2"/>
    <x v="1"/>
    <n v="87.2"/>
    <n v="174.4"/>
    <x v="62"/>
    <d v="2025-03-05T00:00:00"/>
    <x v="2"/>
    <x v="0"/>
    <x v="1"/>
    <x v="0"/>
    <x v="1"/>
    <x v="3"/>
    <x v="9"/>
    <x v="2"/>
  </r>
  <r>
    <x v="1679"/>
    <x v="15"/>
    <x v="0"/>
    <n v="58.8"/>
    <n v="58.8"/>
    <x v="62"/>
    <d v="2025-03-06T00:00:00"/>
    <x v="2"/>
    <x v="2"/>
    <x v="0"/>
    <x v="0"/>
    <x v="44"/>
    <x v="1"/>
    <x v="9"/>
    <x v="2"/>
  </r>
  <r>
    <x v="1680"/>
    <x v="2"/>
    <x v="3"/>
    <n v="125.5"/>
    <n v="878.5"/>
    <x v="62"/>
    <d v="2025-03-05T00:00:00"/>
    <x v="1"/>
    <x v="2"/>
    <x v="4"/>
    <x v="0"/>
    <x v="22"/>
    <x v="3"/>
    <x v="9"/>
    <x v="1"/>
  </r>
  <r>
    <x v="1681"/>
    <x v="1"/>
    <x v="12"/>
    <n v="124.6"/>
    <n v="498.4"/>
    <x v="62"/>
    <d v="2025-03-06T00:00:00"/>
    <x v="2"/>
    <x v="0"/>
    <x v="1"/>
    <x v="0"/>
    <x v="22"/>
    <x v="1"/>
    <x v="9"/>
    <x v="2"/>
  </r>
  <r>
    <x v="1682"/>
    <x v="1"/>
    <x v="3"/>
    <n v="39.9"/>
    <n v="279.3"/>
    <x v="62"/>
    <d v="2025-03-05T00:00:00"/>
    <x v="1"/>
    <x v="2"/>
    <x v="1"/>
    <x v="0"/>
    <x v="3"/>
    <x v="3"/>
    <x v="9"/>
    <x v="1"/>
  </r>
  <r>
    <x v="1683"/>
    <x v="6"/>
    <x v="0"/>
    <n v="94.6"/>
    <n v="94.6"/>
    <x v="62"/>
    <d v="2025-03-18T00:00:00"/>
    <x v="2"/>
    <x v="0"/>
    <x v="1"/>
    <x v="0"/>
    <x v="3"/>
    <x v="12"/>
    <x v="9"/>
    <x v="2"/>
  </r>
  <r>
    <x v="1684"/>
    <x v="2"/>
    <x v="1"/>
    <n v="149.6"/>
    <n v="299.2"/>
    <x v="62"/>
    <d v="2025-03-05T00:00:00"/>
    <x v="2"/>
    <x v="0"/>
    <x v="0"/>
    <x v="0"/>
    <x v="3"/>
    <x v="3"/>
    <x v="9"/>
    <x v="2"/>
  </r>
  <r>
    <x v="1685"/>
    <x v="8"/>
    <x v="0"/>
    <n v="52.2"/>
    <n v="52.2"/>
    <x v="62"/>
    <d v="2025-03-05T00:00:00"/>
    <x v="0"/>
    <x v="1"/>
    <x v="0"/>
    <x v="0"/>
    <x v="3"/>
    <x v="3"/>
    <x v="9"/>
    <x v="0"/>
  </r>
  <r>
    <x v="1686"/>
    <x v="6"/>
    <x v="1"/>
    <n v="96.5"/>
    <n v="193"/>
    <x v="62"/>
    <d v="2025-03-05T00:00:00"/>
    <x v="2"/>
    <x v="1"/>
    <x v="1"/>
    <x v="0"/>
    <x v="3"/>
    <x v="3"/>
    <x v="9"/>
    <x v="2"/>
  </r>
  <r>
    <x v="1687"/>
    <x v="8"/>
    <x v="1"/>
    <n v="79.8"/>
    <n v="159.6"/>
    <x v="62"/>
    <d v="2025-03-06T00:00:00"/>
    <x v="2"/>
    <x v="0"/>
    <x v="1"/>
    <x v="0"/>
    <x v="3"/>
    <x v="1"/>
    <x v="9"/>
    <x v="2"/>
  </r>
  <r>
    <x v="1688"/>
    <x v="8"/>
    <x v="2"/>
    <n v="35.6"/>
    <n v="106.80000000000001"/>
    <x v="62"/>
    <d v="2025-03-05T00:00:00"/>
    <x v="2"/>
    <x v="2"/>
    <x v="0"/>
    <x v="0"/>
    <x v="3"/>
    <x v="3"/>
    <x v="9"/>
    <x v="2"/>
  </r>
  <r>
    <x v="1689"/>
    <x v="16"/>
    <x v="0"/>
    <n v="50.2"/>
    <n v="50.2"/>
    <x v="62"/>
    <d v="2025-03-05T00:00:00"/>
    <x v="2"/>
    <x v="1"/>
    <x v="2"/>
    <x v="0"/>
    <x v="3"/>
    <x v="3"/>
    <x v="9"/>
    <x v="2"/>
  </r>
  <r>
    <x v="1690"/>
    <x v="1"/>
    <x v="2"/>
    <n v="55.3"/>
    <n v="165.89999999999998"/>
    <x v="62"/>
    <d v="2025-03-07T00:00:00"/>
    <x v="2"/>
    <x v="0"/>
    <x v="4"/>
    <x v="0"/>
    <x v="40"/>
    <x v="2"/>
    <x v="9"/>
    <x v="2"/>
  </r>
  <r>
    <x v="1691"/>
    <x v="6"/>
    <x v="3"/>
    <n v="104.5"/>
    <n v="731.5"/>
    <x v="62"/>
    <d v="2025-03-08T00:00:00"/>
    <x v="2"/>
    <x v="1"/>
    <x v="0"/>
    <x v="0"/>
    <x v="7"/>
    <x v="5"/>
    <x v="9"/>
    <x v="2"/>
  </r>
  <r>
    <x v="1692"/>
    <x v="6"/>
    <x v="12"/>
    <n v="66.5"/>
    <n v="266"/>
    <x v="62"/>
    <d v="2025-03-06T00:00:00"/>
    <x v="1"/>
    <x v="1"/>
    <x v="0"/>
    <x v="0"/>
    <x v="7"/>
    <x v="1"/>
    <x v="9"/>
    <x v="1"/>
  </r>
  <r>
    <x v="1693"/>
    <x v="10"/>
    <x v="8"/>
    <n v="38.299999999999997"/>
    <n v="306.39999999999998"/>
    <x v="62"/>
    <d v="2025-03-05T00:00:00"/>
    <x v="2"/>
    <x v="0"/>
    <x v="0"/>
    <x v="0"/>
    <x v="7"/>
    <x v="3"/>
    <x v="9"/>
    <x v="2"/>
  </r>
  <r>
    <x v="1694"/>
    <x v="6"/>
    <x v="2"/>
    <n v="63.8"/>
    <n v="191.39999999999998"/>
    <x v="62"/>
    <d v="2025-03-07T00:00:00"/>
    <x v="2"/>
    <x v="1"/>
    <x v="0"/>
    <x v="0"/>
    <x v="8"/>
    <x v="2"/>
    <x v="9"/>
    <x v="2"/>
  </r>
  <r>
    <x v="1695"/>
    <x v="15"/>
    <x v="0"/>
    <n v="21.4"/>
    <n v="21.4"/>
    <x v="62"/>
    <d v="2025-03-04T00:00:00"/>
    <x v="1"/>
    <x v="4"/>
    <x v="0"/>
    <x v="0"/>
    <x v="8"/>
    <x v="7"/>
    <x v="9"/>
    <x v="1"/>
  </r>
  <r>
    <x v="1696"/>
    <x v="8"/>
    <x v="12"/>
    <n v="44.1"/>
    <n v="176.4"/>
    <x v="62"/>
    <d v="2025-03-06T00:00:00"/>
    <x v="2"/>
    <x v="2"/>
    <x v="0"/>
    <x v="0"/>
    <x v="8"/>
    <x v="1"/>
    <x v="9"/>
    <x v="2"/>
  </r>
  <r>
    <x v="1697"/>
    <x v="5"/>
    <x v="8"/>
    <n v="57.6"/>
    <n v="460.8"/>
    <x v="62"/>
    <d v="2025-03-06T00:00:00"/>
    <x v="1"/>
    <x v="1"/>
    <x v="2"/>
    <x v="0"/>
    <x v="8"/>
    <x v="1"/>
    <x v="9"/>
    <x v="1"/>
  </r>
  <r>
    <x v="1698"/>
    <x v="9"/>
    <x v="1"/>
    <n v="20.3"/>
    <n v="40.6"/>
    <x v="62"/>
    <d v="2025-03-10T00:00:00"/>
    <x v="2"/>
    <x v="3"/>
    <x v="0"/>
    <x v="0"/>
    <x v="8"/>
    <x v="4"/>
    <x v="9"/>
    <x v="2"/>
  </r>
  <r>
    <x v="1699"/>
    <x v="8"/>
    <x v="0"/>
    <n v="22.9"/>
    <n v="22.9"/>
    <x v="62"/>
    <d v="2025-03-06T00:00:00"/>
    <x v="2"/>
    <x v="2"/>
    <x v="2"/>
    <x v="0"/>
    <x v="8"/>
    <x v="1"/>
    <x v="9"/>
    <x v="2"/>
  </r>
  <r>
    <x v="1700"/>
    <x v="6"/>
    <x v="12"/>
    <n v="105.9"/>
    <n v="423.6"/>
    <x v="62"/>
    <d v="2025-03-05T00:00:00"/>
    <x v="2"/>
    <x v="1"/>
    <x v="2"/>
    <x v="0"/>
    <x v="17"/>
    <x v="3"/>
    <x v="9"/>
    <x v="2"/>
  </r>
  <r>
    <x v="1701"/>
    <x v="1"/>
    <x v="11"/>
    <n v="37.4"/>
    <n v="336.59999999999997"/>
    <x v="62"/>
    <d v="2025-03-08T00:00:00"/>
    <x v="1"/>
    <x v="1"/>
    <x v="0"/>
    <x v="0"/>
    <x v="11"/>
    <x v="5"/>
    <x v="9"/>
    <x v="1"/>
  </r>
  <r>
    <x v="1702"/>
    <x v="18"/>
    <x v="1"/>
    <n v="79"/>
    <n v="158"/>
    <x v="62"/>
    <d v="2025-03-05T00:00:00"/>
    <x v="1"/>
    <x v="2"/>
    <x v="0"/>
    <x v="0"/>
    <x v="28"/>
    <x v="3"/>
    <x v="9"/>
    <x v="1"/>
  </r>
  <r>
    <x v="1703"/>
    <x v="0"/>
    <x v="2"/>
    <n v="19.3"/>
    <n v="57.900000000000006"/>
    <x v="62"/>
    <d v="2025-03-05T00:00:00"/>
    <x v="2"/>
    <x v="4"/>
    <x v="0"/>
    <x v="0"/>
    <x v="21"/>
    <x v="3"/>
    <x v="9"/>
    <x v="2"/>
  </r>
  <r>
    <x v="1704"/>
    <x v="0"/>
    <x v="0"/>
    <n v="24"/>
    <n v="24"/>
    <x v="62"/>
    <d v="2025-03-05T00:00:00"/>
    <x v="2"/>
    <x v="1"/>
    <x v="0"/>
    <x v="0"/>
    <x v="1"/>
    <x v="3"/>
    <x v="9"/>
    <x v="2"/>
  </r>
  <r>
    <x v="1705"/>
    <x v="6"/>
    <x v="9"/>
    <n v="71.3"/>
    <n v="356.5"/>
    <x v="62"/>
    <d v="2025-03-07T00:00:00"/>
    <x v="2"/>
    <x v="2"/>
    <x v="0"/>
    <x v="0"/>
    <x v="2"/>
    <x v="2"/>
    <x v="9"/>
    <x v="2"/>
  </r>
  <r>
    <x v="1706"/>
    <x v="5"/>
    <x v="1"/>
    <n v="166.2"/>
    <n v="332.4"/>
    <x v="62"/>
    <d v="2025-03-05T00:00:00"/>
    <x v="1"/>
    <x v="0"/>
    <x v="2"/>
    <x v="0"/>
    <x v="50"/>
    <x v="3"/>
    <x v="9"/>
    <x v="1"/>
  </r>
  <r>
    <x v="1707"/>
    <x v="6"/>
    <x v="0"/>
    <n v="81"/>
    <n v="81"/>
    <x v="62"/>
    <d v="2025-03-05T00:00:00"/>
    <x v="2"/>
    <x v="2"/>
    <x v="1"/>
    <x v="0"/>
    <x v="3"/>
    <x v="3"/>
    <x v="9"/>
    <x v="2"/>
  </r>
  <r>
    <x v="1708"/>
    <x v="10"/>
    <x v="13"/>
    <n v="38.5"/>
    <n v="231"/>
    <x v="62"/>
    <d v="2025-03-08T00:00:00"/>
    <x v="2"/>
    <x v="0"/>
    <x v="0"/>
    <x v="0"/>
    <x v="3"/>
    <x v="5"/>
    <x v="9"/>
    <x v="2"/>
  </r>
  <r>
    <x v="1709"/>
    <x v="6"/>
    <x v="0"/>
    <n v="86.1"/>
    <n v="86.1"/>
    <x v="62"/>
    <d v="2025-03-06T00:00:00"/>
    <x v="2"/>
    <x v="3"/>
    <x v="0"/>
    <x v="0"/>
    <x v="3"/>
    <x v="1"/>
    <x v="9"/>
    <x v="2"/>
  </r>
  <r>
    <x v="1710"/>
    <x v="2"/>
    <x v="9"/>
    <n v="51"/>
    <n v="255"/>
    <x v="62"/>
    <d v="2025-03-05T00:00:00"/>
    <x v="1"/>
    <x v="0"/>
    <x v="1"/>
    <x v="0"/>
    <x v="3"/>
    <x v="3"/>
    <x v="9"/>
    <x v="1"/>
  </r>
  <r>
    <x v="1711"/>
    <x v="3"/>
    <x v="9"/>
    <n v="115.4"/>
    <n v="577"/>
    <x v="62"/>
    <d v="2025-03-05T00:00:00"/>
    <x v="1"/>
    <x v="0"/>
    <x v="0"/>
    <x v="0"/>
    <x v="3"/>
    <x v="3"/>
    <x v="9"/>
    <x v="1"/>
  </r>
  <r>
    <x v="1712"/>
    <x v="6"/>
    <x v="12"/>
    <n v="176.5"/>
    <n v="706"/>
    <x v="62"/>
    <d v="2025-03-05T00:00:00"/>
    <x v="2"/>
    <x v="2"/>
    <x v="2"/>
    <x v="0"/>
    <x v="3"/>
    <x v="3"/>
    <x v="9"/>
    <x v="2"/>
  </r>
  <r>
    <x v="1713"/>
    <x v="7"/>
    <x v="2"/>
    <n v="48.9"/>
    <n v="146.69999999999999"/>
    <x v="62"/>
    <d v="2025-03-05T00:00:00"/>
    <x v="1"/>
    <x v="4"/>
    <x v="0"/>
    <x v="0"/>
    <x v="3"/>
    <x v="3"/>
    <x v="9"/>
    <x v="1"/>
  </r>
  <r>
    <x v="1714"/>
    <x v="8"/>
    <x v="2"/>
    <n v="18.100000000000001"/>
    <n v="54.300000000000004"/>
    <x v="62"/>
    <d v="2025-03-11T00:00:00"/>
    <x v="2"/>
    <x v="1"/>
    <x v="2"/>
    <x v="0"/>
    <x v="29"/>
    <x v="6"/>
    <x v="9"/>
    <x v="2"/>
  </r>
  <r>
    <x v="1715"/>
    <x v="2"/>
    <x v="1"/>
    <n v="118.5"/>
    <n v="237"/>
    <x v="62"/>
    <d v="2025-03-07T00:00:00"/>
    <x v="1"/>
    <x v="1"/>
    <x v="2"/>
    <x v="0"/>
    <x v="16"/>
    <x v="2"/>
    <x v="9"/>
    <x v="1"/>
  </r>
  <r>
    <x v="1716"/>
    <x v="15"/>
    <x v="3"/>
    <n v="59.1"/>
    <n v="413.7"/>
    <x v="62"/>
    <d v="2025-03-05T00:00:00"/>
    <x v="2"/>
    <x v="3"/>
    <x v="0"/>
    <x v="0"/>
    <x v="25"/>
    <x v="3"/>
    <x v="9"/>
    <x v="2"/>
  </r>
  <r>
    <x v="1717"/>
    <x v="4"/>
    <x v="0"/>
    <n v="21.2"/>
    <n v="21.2"/>
    <x v="62"/>
    <d v="2025-03-05T00:00:00"/>
    <x v="2"/>
    <x v="0"/>
    <x v="1"/>
    <x v="0"/>
    <x v="6"/>
    <x v="3"/>
    <x v="9"/>
    <x v="2"/>
  </r>
  <r>
    <x v="1718"/>
    <x v="6"/>
    <x v="1"/>
    <n v="68.8"/>
    <n v="137.6"/>
    <x v="62"/>
    <d v="2025-03-09T00:00:00"/>
    <x v="2"/>
    <x v="3"/>
    <x v="2"/>
    <x v="0"/>
    <x v="6"/>
    <x v="0"/>
    <x v="9"/>
    <x v="2"/>
  </r>
  <r>
    <x v="1719"/>
    <x v="6"/>
    <x v="1"/>
    <n v="65.400000000000006"/>
    <n v="130.80000000000001"/>
    <x v="62"/>
    <d v="2025-03-08T00:00:00"/>
    <x v="2"/>
    <x v="0"/>
    <x v="0"/>
    <x v="0"/>
    <x v="6"/>
    <x v="5"/>
    <x v="9"/>
    <x v="2"/>
  </r>
  <r>
    <x v="1720"/>
    <x v="12"/>
    <x v="9"/>
    <n v="66.3"/>
    <n v="331.5"/>
    <x v="63"/>
    <d v="2025-03-08T00:00:00"/>
    <x v="2"/>
    <x v="4"/>
    <x v="0"/>
    <x v="0"/>
    <x v="6"/>
    <x v="2"/>
    <x v="9"/>
    <x v="2"/>
  </r>
  <r>
    <x v="1721"/>
    <x v="6"/>
    <x v="2"/>
    <n v="97.5"/>
    <n v="292.5"/>
    <x v="63"/>
    <d v="2025-03-05T00:00:00"/>
    <x v="1"/>
    <x v="3"/>
    <x v="0"/>
    <x v="0"/>
    <x v="8"/>
    <x v="7"/>
    <x v="9"/>
    <x v="1"/>
  </r>
  <r>
    <x v="1722"/>
    <x v="1"/>
    <x v="1"/>
    <n v="44"/>
    <n v="88"/>
    <x v="63"/>
    <d v="2025-03-08T00:00:00"/>
    <x v="2"/>
    <x v="1"/>
    <x v="2"/>
    <x v="0"/>
    <x v="8"/>
    <x v="2"/>
    <x v="9"/>
    <x v="2"/>
  </r>
  <r>
    <x v="1723"/>
    <x v="0"/>
    <x v="0"/>
    <n v="21.9"/>
    <n v="21.9"/>
    <x v="63"/>
    <d v="2025-03-06T00:00:00"/>
    <x v="1"/>
    <x v="0"/>
    <x v="0"/>
    <x v="0"/>
    <x v="8"/>
    <x v="3"/>
    <x v="9"/>
    <x v="1"/>
  </r>
  <r>
    <x v="1724"/>
    <x v="4"/>
    <x v="3"/>
    <n v="21.5"/>
    <n v="150.5"/>
    <x v="63"/>
    <d v="2025-03-07T00:00:00"/>
    <x v="2"/>
    <x v="1"/>
    <x v="2"/>
    <x v="0"/>
    <x v="9"/>
    <x v="1"/>
    <x v="9"/>
    <x v="2"/>
  </r>
  <r>
    <x v="1725"/>
    <x v="12"/>
    <x v="13"/>
    <n v="133"/>
    <n v="798"/>
    <x v="63"/>
    <d v="2025-03-06T00:00:00"/>
    <x v="3"/>
    <x v="0"/>
    <x v="2"/>
    <x v="0"/>
    <x v="10"/>
    <x v="3"/>
    <x v="9"/>
    <x v="3"/>
  </r>
  <r>
    <x v="1726"/>
    <x v="8"/>
    <x v="1"/>
    <n v="47.7"/>
    <n v="95.4"/>
    <x v="63"/>
    <d v="2025-03-09T00:00:00"/>
    <x v="1"/>
    <x v="0"/>
    <x v="2"/>
    <x v="0"/>
    <x v="10"/>
    <x v="5"/>
    <x v="9"/>
    <x v="1"/>
  </r>
  <r>
    <x v="1727"/>
    <x v="16"/>
    <x v="2"/>
    <n v="58.1"/>
    <n v="174.3"/>
    <x v="63"/>
    <d v="2025-03-06T00:00:00"/>
    <x v="2"/>
    <x v="0"/>
    <x v="0"/>
    <x v="0"/>
    <x v="11"/>
    <x v="3"/>
    <x v="9"/>
    <x v="2"/>
  </r>
  <r>
    <x v="1728"/>
    <x v="12"/>
    <x v="12"/>
    <n v="66.599999999999994"/>
    <n v="266.39999999999998"/>
    <x v="63"/>
    <d v="2025-03-06T00:00:00"/>
    <x v="0"/>
    <x v="0"/>
    <x v="0"/>
    <x v="0"/>
    <x v="11"/>
    <x v="3"/>
    <x v="9"/>
    <x v="0"/>
  </r>
  <r>
    <x v="1729"/>
    <x v="9"/>
    <x v="0"/>
    <n v="24.1"/>
    <n v="24.1"/>
    <x v="63"/>
    <d v="2025-03-08T00:00:00"/>
    <x v="1"/>
    <x v="2"/>
    <x v="1"/>
    <x v="0"/>
    <x v="19"/>
    <x v="2"/>
    <x v="9"/>
    <x v="1"/>
  </r>
  <r>
    <x v="1730"/>
    <x v="10"/>
    <x v="9"/>
    <n v="51.5"/>
    <n v="257.5"/>
    <x v="63"/>
    <d v="2025-03-10T00:00:00"/>
    <x v="2"/>
    <x v="0"/>
    <x v="0"/>
    <x v="0"/>
    <x v="13"/>
    <x v="0"/>
    <x v="9"/>
    <x v="2"/>
  </r>
  <r>
    <x v="1731"/>
    <x v="0"/>
    <x v="5"/>
    <n v="25.8"/>
    <n v="283.8"/>
    <x v="63"/>
    <d v="2025-03-09T00:00:00"/>
    <x v="2"/>
    <x v="3"/>
    <x v="4"/>
    <x v="0"/>
    <x v="21"/>
    <x v="5"/>
    <x v="9"/>
    <x v="2"/>
  </r>
  <r>
    <x v="1732"/>
    <x v="9"/>
    <x v="12"/>
    <n v="47.7"/>
    <n v="190.8"/>
    <x v="63"/>
    <d v="2025-03-05T00:00:00"/>
    <x v="2"/>
    <x v="0"/>
    <x v="1"/>
    <x v="0"/>
    <x v="21"/>
    <x v="7"/>
    <x v="9"/>
    <x v="2"/>
  </r>
  <r>
    <x v="1733"/>
    <x v="7"/>
    <x v="9"/>
    <n v="73.599999999999994"/>
    <n v="368"/>
    <x v="63"/>
    <d v="2025-03-09T00:00:00"/>
    <x v="1"/>
    <x v="1"/>
    <x v="0"/>
    <x v="0"/>
    <x v="21"/>
    <x v="5"/>
    <x v="9"/>
    <x v="1"/>
  </r>
  <r>
    <x v="1734"/>
    <x v="5"/>
    <x v="3"/>
    <n v="91.2"/>
    <n v="638.4"/>
    <x v="63"/>
    <d v="2025-03-06T00:00:00"/>
    <x v="1"/>
    <x v="1"/>
    <x v="2"/>
    <x v="0"/>
    <x v="21"/>
    <x v="3"/>
    <x v="9"/>
    <x v="1"/>
  </r>
  <r>
    <x v="1735"/>
    <x v="1"/>
    <x v="8"/>
    <n v="36.200000000000003"/>
    <n v="289.60000000000002"/>
    <x v="63"/>
    <d v="2025-03-05T00:00:00"/>
    <x v="1"/>
    <x v="2"/>
    <x v="2"/>
    <x v="0"/>
    <x v="1"/>
    <x v="7"/>
    <x v="9"/>
    <x v="1"/>
  </r>
  <r>
    <x v="1736"/>
    <x v="9"/>
    <x v="8"/>
    <n v="98"/>
    <n v="784"/>
    <x v="63"/>
    <d v="2025-03-09T00:00:00"/>
    <x v="2"/>
    <x v="2"/>
    <x v="0"/>
    <x v="0"/>
    <x v="2"/>
    <x v="5"/>
    <x v="9"/>
    <x v="2"/>
  </r>
  <r>
    <x v="1737"/>
    <x v="1"/>
    <x v="8"/>
    <n v="43.6"/>
    <n v="348.8"/>
    <x v="63"/>
    <d v="2025-03-06T00:00:00"/>
    <x v="2"/>
    <x v="2"/>
    <x v="0"/>
    <x v="0"/>
    <x v="22"/>
    <x v="3"/>
    <x v="9"/>
    <x v="2"/>
  </r>
  <r>
    <x v="1738"/>
    <x v="8"/>
    <x v="7"/>
    <n v="37.799999999999997"/>
    <n v="378"/>
    <x v="63"/>
    <d v="2025-03-05T00:00:00"/>
    <x v="3"/>
    <x v="0"/>
    <x v="0"/>
    <x v="0"/>
    <x v="50"/>
    <x v="7"/>
    <x v="9"/>
    <x v="3"/>
  </r>
  <r>
    <x v="1739"/>
    <x v="17"/>
    <x v="9"/>
    <n v="63.7"/>
    <n v="318.5"/>
    <x v="63"/>
    <d v="2025-03-08T00:00:00"/>
    <x v="2"/>
    <x v="2"/>
    <x v="1"/>
    <x v="0"/>
    <x v="3"/>
    <x v="2"/>
    <x v="9"/>
    <x v="2"/>
  </r>
  <r>
    <x v="1740"/>
    <x v="5"/>
    <x v="11"/>
    <n v="62.9"/>
    <n v="566.1"/>
    <x v="63"/>
    <d v="2025-03-10T00:00:00"/>
    <x v="1"/>
    <x v="3"/>
    <x v="2"/>
    <x v="0"/>
    <x v="3"/>
    <x v="0"/>
    <x v="9"/>
    <x v="1"/>
  </r>
  <r>
    <x v="1741"/>
    <x v="6"/>
    <x v="3"/>
    <n v="61.7"/>
    <n v="431.90000000000003"/>
    <x v="63"/>
    <d v="2025-03-08T00:00:00"/>
    <x v="2"/>
    <x v="2"/>
    <x v="2"/>
    <x v="0"/>
    <x v="3"/>
    <x v="2"/>
    <x v="9"/>
    <x v="2"/>
  </r>
  <r>
    <x v="1742"/>
    <x v="18"/>
    <x v="21"/>
    <n v="36.5"/>
    <n v="511"/>
    <x v="63"/>
    <d v="2025-03-06T00:00:00"/>
    <x v="1"/>
    <x v="0"/>
    <x v="2"/>
    <x v="0"/>
    <x v="3"/>
    <x v="3"/>
    <x v="9"/>
    <x v="1"/>
  </r>
  <r>
    <x v="1743"/>
    <x v="11"/>
    <x v="2"/>
    <n v="98.6"/>
    <n v="295.79999999999995"/>
    <x v="63"/>
    <d v="2025-03-08T00:00:00"/>
    <x v="3"/>
    <x v="0"/>
    <x v="4"/>
    <x v="0"/>
    <x v="3"/>
    <x v="2"/>
    <x v="9"/>
    <x v="3"/>
  </r>
  <r>
    <x v="1744"/>
    <x v="8"/>
    <x v="1"/>
    <n v="19.2"/>
    <n v="38.4"/>
    <x v="63"/>
    <d v="2025-03-15T00:00:00"/>
    <x v="1"/>
    <x v="0"/>
    <x v="0"/>
    <x v="0"/>
    <x v="3"/>
    <x v="14"/>
    <x v="9"/>
    <x v="1"/>
  </r>
  <r>
    <x v="1745"/>
    <x v="3"/>
    <x v="13"/>
    <n v="55.6"/>
    <n v="333.6"/>
    <x v="63"/>
    <d v="2025-03-09T00:00:00"/>
    <x v="2"/>
    <x v="0"/>
    <x v="2"/>
    <x v="0"/>
    <x v="3"/>
    <x v="5"/>
    <x v="9"/>
    <x v="2"/>
  </r>
  <r>
    <x v="1746"/>
    <x v="5"/>
    <x v="13"/>
    <n v="56.4"/>
    <n v="338.4"/>
    <x v="63"/>
    <d v="2025-03-06T00:00:00"/>
    <x v="2"/>
    <x v="1"/>
    <x v="0"/>
    <x v="0"/>
    <x v="3"/>
    <x v="3"/>
    <x v="9"/>
    <x v="2"/>
  </r>
  <r>
    <x v="1747"/>
    <x v="4"/>
    <x v="8"/>
    <n v="43.1"/>
    <n v="344.8"/>
    <x v="63"/>
    <d v="2025-03-09T00:00:00"/>
    <x v="2"/>
    <x v="4"/>
    <x v="0"/>
    <x v="0"/>
    <x v="3"/>
    <x v="5"/>
    <x v="9"/>
    <x v="2"/>
  </r>
  <r>
    <x v="1748"/>
    <x v="1"/>
    <x v="1"/>
    <n v="77.3"/>
    <n v="154.6"/>
    <x v="63"/>
    <d v="2025-03-07T00:00:00"/>
    <x v="1"/>
    <x v="0"/>
    <x v="0"/>
    <x v="0"/>
    <x v="6"/>
    <x v="1"/>
    <x v="9"/>
    <x v="1"/>
  </r>
  <r>
    <x v="1749"/>
    <x v="9"/>
    <x v="8"/>
    <n v="38.299999999999997"/>
    <n v="306.39999999999998"/>
    <x v="63"/>
    <d v="2025-03-06T00:00:00"/>
    <x v="1"/>
    <x v="0"/>
    <x v="0"/>
    <x v="0"/>
    <x v="7"/>
    <x v="3"/>
    <x v="9"/>
    <x v="1"/>
  </r>
  <r>
    <x v="1750"/>
    <x v="0"/>
    <x v="3"/>
    <n v="16.8"/>
    <n v="117.60000000000001"/>
    <x v="63"/>
    <d v="2025-03-08T00:00:00"/>
    <x v="1"/>
    <x v="2"/>
    <x v="1"/>
    <x v="0"/>
    <x v="8"/>
    <x v="2"/>
    <x v="9"/>
    <x v="1"/>
  </r>
  <r>
    <x v="1751"/>
    <x v="2"/>
    <x v="2"/>
    <n v="63.2"/>
    <n v="189.60000000000002"/>
    <x v="63"/>
    <d v="2025-03-06T00:00:00"/>
    <x v="2"/>
    <x v="0"/>
    <x v="2"/>
    <x v="0"/>
    <x v="8"/>
    <x v="3"/>
    <x v="9"/>
    <x v="2"/>
  </r>
  <r>
    <x v="1752"/>
    <x v="14"/>
    <x v="44"/>
    <n v="39.700000000000003"/>
    <n v="913.1"/>
    <x v="63"/>
    <d v="2025-03-06T00:00:00"/>
    <x v="1"/>
    <x v="0"/>
    <x v="0"/>
    <x v="0"/>
    <x v="8"/>
    <x v="3"/>
    <x v="9"/>
    <x v="1"/>
  </r>
  <r>
    <x v="1753"/>
    <x v="10"/>
    <x v="2"/>
    <n v="45.8"/>
    <n v="137.39999999999998"/>
    <x v="63"/>
    <d v="2025-03-06T00:00:00"/>
    <x v="2"/>
    <x v="1"/>
    <x v="2"/>
    <x v="0"/>
    <x v="8"/>
    <x v="3"/>
    <x v="9"/>
    <x v="2"/>
  </r>
  <r>
    <x v="1754"/>
    <x v="0"/>
    <x v="13"/>
    <n v="12.4"/>
    <n v="74.400000000000006"/>
    <x v="63"/>
    <d v="2025-03-08T00:00:00"/>
    <x v="1"/>
    <x v="0"/>
    <x v="0"/>
    <x v="0"/>
    <x v="8"/>
    <x v="2"/>
    <x v="9"/>
    <x v="1"/>
  </r>
  <r>
    <x v="1755"/>
    <x v="14"/>
    <x v="2"/>
    <n v="50.8"/>
    <n v="152.39999999999998"/>
    <x v="64"/>
    <d v="2025-03-06T00:00:00"/>
    <x v="2"/>
    <x v="4"/>
    <x v="0"/>
    <x v="0"/>
    <x v="17"/>
    <x v="7"/>
    <x v="9"/>
    <x v="2"/>
  </r>
  <r>
    <x v="1756"/>
    <x v="9"/>
    <x v="0"/>
    <n v="76"/>
    <n v="76"/>
    <x v="64"/>
    <d v="2025-03-10T00:00:00"/>
    <x v="3"/>
    <x v="2"/>
    <x v="2"/>
    <x v="0"/>
    <x v="17"/>
    <x v="5"/>
    <x v="9"/>
    <x v="3"/>
  </r>
  <r>
    <x v="1757"/>
    <x v="1"/>
    <x v="1"/>
    <n v="51.9"/>
    <n v="103.8"/>
    <x v="64"/>
    <d v="2025-03-07T00:00:00"/>
    <x v="1"/>
    <x v="1"/>
    <x v="2"/>
    <x v="0"/>
    <x v="26"/>
    <x v="3"/>
    <x v="9"/>
    <x v="1"/>
  </r>
  <r>
    <x v="1758"/>
    <x v="2"/>
    <x v="1"/>
    <n v="93.4"/>
    <n v="186.8"/>
    <x v="64"/>
    <d v="2025-03-13T00:00:00"/>
    <x v="1"/>
    <x v="0"/>
    <x v="3"/>
    <x v="0"/>
    <x v="11"/>
    <x v="6"/>
    <x v="9"/>
    <x v="1"/>
  </r>
  <r>
    <x v="1759"/>
    <x v="7"/>
    <x v="13"/>
    <n v="30.8"/>
    <n v="184.8"/>
    <x v="64"/>
    <d v="2025-03-09T00:00:00"/>
    <x v="2"/>
    <x v="1"/>
    <x v="0"/>
    <x v="0"/>
    <x v="11"/>
    <x v="2"/>
    <x v="9"/>
    <x v="2"/>
  </r>
  <r>
    <x v="1760"/>
    <x v="2"/>
    <x v="0"/>
    <n v="143.19999999999999"/>
    <n v="143.19999999999999"/>
    <x v="64"/>
    <d v="2025-03-09T00:00:00"/>
    <x v="1"/>
    <x v="2"/>
    <x v="0"/>
    <x v="0"/>
    <x v="11"/>
    <x v="2"/>
    <x v="9"/>
    <x v="1"/>
  </r>
  <r>
    <x v="1761"/>
    <x v="6"/>
    <x v="5"/>
    <n v="40.4"/>
    <n v="444.4"/>
    <x v="64"/>
    <d v="2025-03-08T00:00:00"/>
    <x v="1"/>
    <x v="2"/>
    <x v="2"/>
    <x v="0"/>
    <x v="18"/>
    <x v="1"/>
    <x v="9"/>
    <x v="1"/>
  </r>
  <r>
    <x v="1762"/>
    <x v="2"/>
    <x v="10"/>
    <n v="131.5"/>
    <n v="2498.5"/>
    <x v="64"/>
    <d v="2025-03-08T00:00:00"/>
    <x v="1"/>
    <x v="1"/>
    <x v="1"/>
    <x v="0"/>
    <x v="18"/>
    <x v="1"/>
    <x v="9"/>
    <x v="1"/>
  </r>
  <r>
    <x v="1763"/>
    <x v="18"/>
    <x v="3"/>
    <n v="61.6"/>
    <n v="431.2"/>
    <x v="64"/>
    <d v="2025-03-07T00:00:00"/>
    <x v="1"/>
    <x v="2"/>
    <x v="0"/>
    <x v="0"/>
    <x v="21"/>
    <x v="3"/>
    <x v="9"/>
    <x v="1"/>
  </r>
  <r>
    <x v="1764"/>
    <x v="9"/>
    <x v="9"/>
    <n v="32.700000000000003"/>
    <n v="163.5"/>
    <x v="64"/>
    <d v="2025-03-08T00:00:00"/>
    <x v="1"/>
    <x v="2"/>
    <x v="0"/>
    <x v="0"/>
    <x v="1"/>
    <x v="1"/>
    <x v="9"/>
    <x v="1"/>
  </r>
  <r>
    <x v="1765"/>
    <x v="0"/>
    <x v="7"/>
    <n v="13.7"/>
    <n v="137"/>
    <x v="64"/>
    <d v="2025-03-07T00:00:00"/>
    <x v="1"/>
    <x v="0"/>
    <x v="2"/>
    <x v="0"/>
    <x v="3"/>
    <x v="3"/>
    <x v="9"/>
    <x v="1"/>
  </r>
  <r>
    <x v="1766"/>
    <x v="0"/>
    <x v="12"/>
    <n v="32.1"/>
    <n v="128.4"/>
    <x v="64"/>
    <d v="2025-03-07T00:00:00"/>
    <x v="1"/>
    <x v="4"/>
    <x v="1"/>
    <x v="0"/>
    <x v="3"/>
    <x v="3"/>
    <x v="9"/>
    <x v="1"/>
  </r>
  <r>
    <x v="1767"/>
    <x v="14"/>
    <x v="8"/>
    <n v="12"/>
    <n v="96"/>
    <x v="64"/>
    <d v="2025-03-07T00:00:00"/>
    <x v="1"/>
    <x v="1"/>
    <x v="0"/>
    <x v="0"/>
    <x v="24"/>
    <x v="3"/>
    <x v="9"/>
    <x v="1"/>
  </r>
  <r>
    <x v="1768"/>
    <x v="12"/>
    <x v="0"/>
    <n v="64.3"/>
    <n v="64.3"/>
    <x v="64"/>
    <d v="2025-03-08T00:00:00"/>
    <x v="2"/>
    <x v="2"/>
    <x v="2"/>
    <x v="0"/>
    <x v="6"/>
    <x v="1"/>
    <x v="9"/>
    <x v="2"/>
  </r>
  <r>
    <x v="1769"/>
    <x v="1"/>
    <x v="2"/>
    <n v="58.2"/>
    <n v="174.60000000000002"/>
    <x v="64"/>
    <d v="2025-03-08T00:00:00"/>
    <x v="2"/>
    <x v="1"/>
    <x v="2"/>
    <x v="0"/>
    <x v="6"/>
    <x v="1"/>
    <x v="9"/>
    <x v="2"/>
  </r>
  <r>
    <x v="1770"/>
    <x v="6"/>
    <x v="12"/>
    <n v="59.2"/>
    <n v="236.8"/>
    <x v="64"/>
    <d v="2025-03-06T00:00:00"/>
    <x v="1"/>
    <x v="1"/>
    <x v="2"/>
    <x v="0"/>
    <x v="6"/>
    <x v="7"/>
    <x v="9"/>
    <x v="1"/>
  </r>
  <r>
    <x v="1771"/>
    <x v="10"/>
    <x v="5"/>
    <n v="35.6"/>
    <n v="391.6"/>
    <x v="64"/>
    <d v="2025-03-13T00:00:00"/>
    <x v="1"/>
    <x v="0"/>
    <x v="2"/>
    <x v="0"/>
    <x v="8"/>
    <x v="6"/>
    <x v="9"/>
    <x v="1"/>
  </r>
  <r>
    <x v="1772"/>
    <x v="16"/>
    <x v="8"/>
    <n v="37"/>
    <n v="296"/>
    <x v="64"/>
    <d v="2025-03-10T00:00:00"/>
    <x v="2"/>
    <x v="2"/>
    <x v="1"/>
    <x v="0"/>
    <x v="8"/>
    <x v="5"/>
    <x v="9"/>
    <x v="2"/>
  </r>
  <r>
    <x v="1773"/>
    <x v="1"/>
    <x v="15"/>
    <n v="80.8"/>
    <n v="1050.3999999999999"/>
    <x v="64"/>
    <d v="2025-03-08T00:00:00"/>
    <x v="2"/>
    <x v="0"/>
    <x v="0"/>
    <x v="0"/>
    <x v="8"/>
    <x v="1"/>
    <x v="9"/>
    <x v="2"/>
  </r>
  <r>
    <x v="1774"/>
    <x v="8"/>
    <x v="1"/>
    <n v="63.2"/>
    <n v="126.4"/>
    <x v="64"/>
    <d v="2025-03-07T00:00:00"/>
    <x v="1"/>
    <x v="0"/>
    <x v="1"/>
    <x v="0"/>
    <x v="8"/>
    <x v="3"/>
    <x v="9"/>
    <x v="1"/>
  </r>
  <r>
    <x v="1775"/>
    <x v="3"/>
    <x v="1"/>
    <n v="40.799999999999997"/>
    <n v="81.599999999999994"/>
    <x v="64"/>
    <d v="2025-03-08T00:00:00"/>
    <x v="1"/>
    <x v="0"/>
    <x v="1"/>
    <x v="0"/>
    <x v="17"/>
    <x v="1"/>
    <x v="9"/>
    <x v="1"/>
  </r>
  <r>
    <x v="1776"/>
    <x v="13"/>
    <x v="13"/>
    <n v="25.7"/>
    <n v="154.19999999999999"/>
    <x v="64"/>
    <d v="2025-03-08T00:00:00"/>
    <x v="1"/>
    <x v="4"/>
    <x v="0"/>
    <x v="0"/>
    <x v="18"/>
    <x v="1"/>
    <x v="9"/>
    <x v="1"/>
  </r>
  <r>
    <x v="1777"/>
    <x v="16"/>
    <x v="1"/>
    <n v="49.9"/>
    <n v="99.8"/>
    <x v="64"/>
    <d v="2025-03-09T00:00:00"/>
    <x v="1"/>
    <x v="0"/>
    <x v="0"/>
    <x v="0"/>
    <x v="20"/>
    <x v="2"/>
    <x v="9"/>
    <x v="1"/>
  </r>
  <r>
    <x v="1778"/>
    <x v="8"/>
    <x v="1"/>
    <n v="20.2"/>
    <n v="40.4"/>
    <x v="64"/>
    <d v="2025-03-08T00:00:00"/>
    <x v="2"/>
    <x v="3"/>
    <x v="0"/>
    <x v="0"/>
    <x v="21"/>
    <x v="1"/>
    <x v="9"/>
    <x v="2"/>
  </r>
  <r>
    <x v="1779"/>
    <x v="6"/>
    <x v="2"/>
    <n v="48.4"/>
    <n v="145.19999999999999"/>
    <x v="64"/>
    <d v="2025-03-11T00:00:00"/>
    <x v="2"/>
    <x v="0"/>
    <x v="2"/>
    <x v="0"/>
    <x v="21"/>
    <x v="0"/>
    <x v="9"/>
    <x v="2"/>
  </r>
  <r>
    <x v="1780"/>
    <x v="6"/>
    <x v="1"/>
    <n v="81"/>
    <n v="162"/>
    <x v="64"/>
    <d v="2025-03-07T00:00:00"/>
    <x v="2"/>
    <x v="1"/>
    <x v="2"/>
    <x v="0"/>
    <x v="21"/>
    <x v="3"/>
    <x v="9"/>
    <x v="2"/>
  </r>
  <r>
    <x v="1781"/>
    <x v="8"/>
    <x v="13"/>
    <n v="19.899999999999999"/>
    <n v="119.39999999999999"/>
    <x v="64"/>
    <d v="2025-03-09T00:00:00"/>
    <x v="2"/>
    <x v="0"/>
    <x v="1"/>
    <x v="0"/>
    <x v="22"/>
    <x v="2"/>
    <x v="9"/>
    <x v="2"/>
  </r>
  <r>
    <x v="1782"/>
    <x v="4"/>
    <x v="12"/>
    <n v="32.200000000000003"/>
    <n v="128.80000000000001"/>
    <x v="64"/>
    <d v="2025-03-16T00:00:00"/>
    <x v="1"/>
    <x v="0"/>
    <x v="0"/>
    <x v="0"/>
    <x v="22"/>
    <x v="14"/>
    <x v="9"/>
    <x v="1"/>
  </r>
  <r>
    <x v="1783"/>
    <x v="5"/>
    <x v="2"/>
    <n v="76.8"/>
    <n v="230.39999999999998"/>
    <x v="64"/>
    <d v="2025-03-07T00:00:00"/>
    <x v="2"/>
    <x v="0"/>
    <x v="1"/>
    <x v="0"/>
    <x v="3"/>
    <x v="3"/>
    <x v="9"/>
    <x v="2"/>
  </r>
  <r>
    <x v="1784"/>
    <x v="6"/>
    <x v="1"/>
    <n v="41.9"/>
    <n v="83.8"/>
    <x v="64"/>
    <d v="2025-03-08T00:00:00"/>
    <x v="2"/>
    <x v="0"/>
    <x v="0"/>
    <x v="0"/>
    <x v="3"/>
    <x v="1"/>
    <x v="9"/>
    <x v="2"/>
  </r>
  <r>
    <x v="1785"/>
    <x v="0"/>
    <x v="3"/>
    <n v="34"/>
    <n v="238"/>
    <x v="64"/>
    <d v="2025-03-08T00:00:00"/>
    <x v="2"/>
    <x v="1"/>
    <x v="2"/>
    <x v="0"/>
    <x v="3"/>
    <x v="1"/>
    <x v="9"/>
    <x v="2"/>
  </r>
  <r>
    <x v="1786"/>
    <x v="7"/>
    <x v="3"/>
    <n v="61.3"/>
    <n v="429.09999999999997"/>
    <x v="64"/>
    <d v="2025-03-06T00:00:00"/>
    <x v="2"/>
    <x v="4"/>
    <x v="2"/>
    <x v="0"/>
    <x v="3"/>
    <x v="7"/>
    <x v="9"/>
    <x v="2"/>
  </r>
  <r>
    <x v="1787"/>
    <x v="9"/>
    <x v="0"/>
    <n v="54.7"/>
    <n v="54.7"/>
    <x v="65"/>
    <d v="2025-03-08T00:00:00"/>
    <x v="1"/>
    <x v="0"/>
    <x v="1"/>
    <x v="0"/>
    <x v="3"/>
    <x v="3"/>
    <x v="9"/>
    <x v="1"/>
  </r>
  <r>
    <x v="1788"/>
    <x v="6"/>
    <x v="7"/>
    <n v="84.7"/>
    <n v="847"/>
    <x v="65"/>
    <d v="2025-03-11T00:00:00"/>
    <x v="2"/>
    <x v="0"/>
    <x v="0"/>
    <x v="0"/>
    <x v="3"/>
    <x v="5"/>
    <x v="9"/>
    <x v="2"/>
  </r>
  <r>
    <x v="1789"/>
    <x v="1"/>
    <x v="2"/>
    <n v="93.4"/>
    <n v="280.20000000000005"/>
    <x v="65"/>
    <d v="2025-03-11T00:00:00"/>
    <x v="2"/>
    <x v="3"/>
    <x v="0"/>
    <x v="0"/>
    <x v="3"/>
    <x v="5"/>
    <x v="9"/>
    <x v="2"/>
  </r>
  <r>
    <x v="1790"/>
    <x v="8"/>
    <x v="9"/>
    <n v="27"/>
    <n v="135"/>
    <x v="65"/>
    <d v="2025-03-10T00:00:00"/>
    <x v="1"/>
    <x v="0"/>
    <x v="1"/>
    <x v="0"/>
    <x v="3"/>
    <x v="2"/>
    <x v="9"/>
    <x v="1"/>
  </r>
  <r>
    <x v="1791"/>
    <x v="0"/>
    <x v="12"/>
    <n v="10.9"/>
    <n v="43.6"/>
    <x v="65"/>
    <d v="2025-03-08T00:00:00"/>
    <x v="1"/>
    <x v="2"/>
    <x v="0"/>
    <x v="0"/>
    <x v="3"/>
    <x v="3"/>
    <x v="9"/>
    <x v="1"/>
  </r>
  <r>
    <x v="1792"/>
    <x v="16"/>
    <x v="2"/>
    <n v="48"/>
    <n v="144"/>
    <x v="65"/>
    <d v="2025-03-12T00:00:00"/>
    <x v="2"/>
    <x v="4"/>
    <x v="0"/>
    <x v="0"/>
    <x v="3"/>
    <x v="0"/>
    <x v="9"/>
    <x v="2"/>
  </r>
  <r>
    <x v="1793"/>
    <x v="5"/>
    <x v="1"/>
    <n v="67.900000000000006"/>
    <n v="135.80000000000001"/>
    <x v="65"/>
    <d v="2025-03-08T00:00:00"/>
    <x v="1"/>
    <x v="0"/>
    <x v="2"/>
    <x v="0"/>
    <x v="23"/>
    <x v="3"/>
    <x v="9"/>
    <x v="1"/>
  </r>
  <r>
    <x v="1794"/>
    <x v="4"/>
    <x v="2"/>
    <n v="36"/>
    <n v="108"/>
    <x v="65"/>
    <d v="2025-03-08T00:00:00"/>
    <x v="1"/>
    <x v="1"/>
    <x v="0"/>
    <x v="0"/>
    <x v="6"/>
    <x v="3"/>
    <x v="9"/>
    <x v="1"/>
  </r>
  <r>
    <x v="1795"/>
    <x v="2"/>
    <x v="0"/>
    <n v="128.80000000000001"/>
    <n v="128.80000000000001"/>
    <x v="65"/>
    <d v="2025-03-08T00:00:00"/>
    <x v="1"/>
    <x v="4"/>
    <x v="2"/>
    <x v="0"/>
    <x v="6"/>
    <x v="3"/>
    <x v="9"/>
    <x v="1"/>
  </r>
  <r>
    <x v="1796"/>
    <x v="18"/>
    <x v="3"/>
    <n v="33.299999999999997"/>
    <n v="233.09999999999997"/>
    <x v="65"/>
    <d v="2025-03-08T00:00:00"/>
    <x v="2"/>
    <x v="3"/>
    <x v="0"/>
    <x v="0"/>
    <x v="8"/>
    <x v="3"/>
    <x v="9"/>
    <x v="2"/>
  </r>
  <r>
    <x v="1797"/>
    <x v="10"/>
    <x v="2"/>
    <n v="37.799999999999997"/>
    <n v="113.39999999999999"/>
    <x v="65"/>
    <d v="2025-03-09T00:00:00"/>
    <x v="1"/>
    <x v="1"/>
    <x v="2"/>
    <x v="0"/>
    <x v="8"/>
    <x v="1"/>
    <x v="9"/>
    <x v="1"/>
  </r>
  <r>
    <x v="1798"/>
    <x v="5"/>
    <x v="2"/>
    <n v="26"/>
    <n v="78"/>
    <x v="65"/>
    <d v="2025-03-12T00:00:00"/>
    <x v="2"/>
    <x v="0"/>
    <x v="0"/>
    <x v="0"/>
    <x v="8"/>
    <x v="0"/>
    <x v="9"/>
    <x v="2"/>
  </r>
  <r>
    <x v="1799"/>
    <x v="8"/>
    <x v="10"/>
    <n v="28.3"/>
    <n v="537.70000000000005"/>
    <x v="65"/>
    <d v="2025-03-08T00:00:00"/>
    <x v="2"/>
    <x v="3"/>
    <x v="4"/>
    <x v="0"/>
    <x v="8"/>
    <x v="3"/>
    <x v="9"/>
    <x v="2"/>
  </r>
  <r>
    <x v="1800"/>
    <x v="8"/>
    <x v="12"/>
    <n v="31.3"/>
    <n v="125.2"/>
    <x v="65"/>
    <d v="2025-03-07T00:00:00"/>
    <x v="2"/>
    <x v="0"/>
    <x v="0"/>
    <x v="0"/>
    <x v="8"/>
    <x v="7"/>
    <x v="9"/>
    <x v="2"/>
  </r>
  <r>
    <x v="1801"/>
    <x v="7"/>
    <x v="2"/>
    <n v="69.5"/>
    <n v="208.5"/>
    <x v="65"/>
    <d v="2025-03-08T00:00:00"/>
    <x v="2"/>
    <x v="3"/>
    <x v="2"/>
    <x v="0"/>
    <x v="8"/>
    <x v="3"/>
    <x v="9"/>
    <x v="2"/>
  </r>
  <r>
    <x v="1802"/>
    <x v="0"/>
    <x v="1"/>
    <n v="16.7"/>
    <n v="33.4"/>
    <x v="65"/>
    <d v="2025-03-08T00:00:00"/>
    <x v="2"/>
    <x v="3"/>
    <x v="1"/>
    <x v="0"/>
    <x v="8"/>
    <x v="3"/>
    <x v="9"/>
    <x v="2"/>
  </r>
  <r>
    <x v="1803"/>
    <x v="9"/>
    <x v="1"/>
    <n v="62.6"/>
    <n v="125.2"/>
    <x v="65"/>
    <d v="2025-03-08T00:00:00"/>
    <x v="1"/>
    <x v="2"/>
    <x v="2"/>
    <x v="0"/>
    <x v="9"/>
    <x v="3"/>
    <x v="9"/>
    <x v="1"/>
  </r>
  <r>
    <x v="1804"/>
    <x v="7"/>
    <x v="0"/>
    <n v="81.2"/>
    <n v="81.2"/>
    <x v="65"/>
    <d v="2025-03-13T00:00:00"/>
    <x v="1"/>
    <x v="4"/>
    <x v="4"/>
    <x v="0"/>
    <x v="9"/>
    <x v="4"/>
    <x v="9"/>
    <x v="1"/>
  </r>
  <r>
    <x v="1805"/>
    <x v="0"/>
    <x v="7"/>
    <n v="12.7"/>
    <n v="127"/>
    <x v="65"/>
    <d v="2025-03-08T00:00:00"/>
    <x v="2"/>
    <x v="0"/>
    <x v="2"/>
    <x v="0"/>
    <x v="9"/>
    <x v="3"/>
    <x v="9"/>
    <x v="2"/>
  </r>
  <r>
    <x v="1806"/>
    <x v="7"/>
    <x v="12"/>
    <n v="77.7"/>
    <n v="310.8"/>
    <x v="66"/>
    <d v="2025-03-12T00:00:00"/>
    <x v="1"/>
    <x v="1"/>
    <x v="0"/>
    <x v="0"/>
    <x v="11"/>
    <x v="5"/>
    <x v="9"/>
    <x v="1"/>
  </r>
  <r>
    <x v="1807"/>
    <x v="5"/>
    <x v="1"/>
    <n v="37.299999999999997"/>
    <n v="74.599999999999994"/>
    <x v="66"/>
    <d v="2025-03-09T00:00:00"/>
    <x v="2"/>
    <x v="0"/>
    <x v="2"/>
    <x v="0"/>
    <x v="18"/>
    <x v="3"/>
    <x v="9"/>
    <x v="2"/>
  </r>
  <r>
    <x v="1808"/>
    <x v="10"/>
    <x v="12"/>
    <n v="35.6"/>
    <n v="142.4"/>
    <x v="66"/>
    <d v="2025-03-10T00:00:00"/>
    <x v="2"/>
    <x v="1"/>
    <x v="1"/>
    <x v="0"/>
    <x v="19"/>
    <x v="1"/>
    <x v="9"/>
    <x v="2"/>
  </r>
  <r>
    <x v="1809"/>
    <x v="2"/>
    <x v="2"/>
    <n v="95"/>
    <n v="285"/>
    <x v="66"/>
    <d v="2025-03-12T00:00:00"/>
    <x v="2"/>
    <x v="2"/>
    <x v="2"/>
    <x v="0"/>
    <x v="56"/>
    <x v="5"/>
    <x v="9"/>
    <x v="2"/>
  </r>
  <r>
    <x v="1810"/>
    <x v="2"/>
    <x v="12"/>
    <n v="172.1"/>
    <n v="688.4"/>
    <x v="66"/>
    <d v="2025-03-12T00:00:00"/>
    <x v="3"/>
    <x v="2"/>
    <x v="2"/>
    <x v="0"/>
    <x v="21"/>
    <x v="5"/>
    <x v="9"/>
    <x v="3"/>
  </r>
  <r>
    <x v="1811"/>
    <x v="2"/>
    <x v="1"/>
    <n v="233"/>
    <n v="466"/>
    <x v="66"/>
    <d v="2025-03-11T00:00:00"/>
    <x v="2"/>
    <x v="1"/>
    <x v="0"/>
    <x v="0"/>
    <x v="21"/>
    <x v="2"/>
    <x v="9"/>
    <x v="2"/>
  </r>
  <r>
    <x v="1812"/>
    <x v="0"/>
    <x v="0"/>
    <n v="43.5"/>
    <n v="43.5"/>
    <x v="66"/>
    <d v="2025-03-09T00:00:00"/>
    <x v="2"/>
    <x v="2"/>
    <x v="2"/>
    <x v="0"/>
    <x v="21"/>
    <x v="3"/>
    <x v="9"/>
    <x v="2"/>
  </r>
  <r>
    <x v="1813"/>
    <x v="9"/>
    <x v="1"/>
    <n v="47.8"/>
    <n v="95.6"/>
    <x v="66"/>
    <d v="2025-03-11T00:00:00"/>
    <x v="1"/>
    <x v="4"/>
    <x v="2"/>
    <x v="0"/>
    <x v="1"/>
    <x v="2"/>
    <x v="9"/>
    <x v="1"/>
  </r>
  <r>
    <x v="1814"/>
    <x v="12"/>
    <x v="1"/>
    <n v="65.8"/>
    <n v="131.6"/>
    <x v="66"/>
    <d v="2025-03-10T00:00:00"/>
    <x v="2"/>
    <x v="0"/>
    <x v="3"/>
    <x v="0"/>
    <x v="33"/>
    <x v="1"/>
    <x v="9"/>
    <x v="2"/>
  </r>
  <r>
    <x v="1815"/>
    <x v="15"/>
    <x v="5"/>
    <n v="38.700000000000003"/>
    <n v="425.70000000000005"/>
    <x v="66"/>
    <d v="2025-03-08T00:00:00"/>
    <x v="1"/>
    <x v="0"/>
    <x v="0"/>
    <x v="0"/>
    <x v="22"/>
    <x v="7"/>
    <x v="9"/>
    <x v="1"/>
  </r>
  <r>
    <x v="1816"/>
    <x v="3"/>
    <x v="12"/>
    <n v="55.7"/>
    <n v="222.8"/>
    <x v="66"/>
    <d v="2025-03-10T00:00:00"/>
    <x v="3"/>
    <x v="0"/>
    <x v="1"/>
    <x v="0"/>
    <x v="22"/>
    <x v="1"/>
    <x v="9"/>
    <x v="3"/>
  </r>
  <r>
    <x v="1817"/>
    <x v="7"/>
    <x v="1"/>
    <n v="102.4"/>
    <n v="204.8"/>
    <x v="66"/>
    <d v="2025-03-08T00:00:00"/>
    <x v="2"/>
    <x v="1"/>
    <x v="0"/>
    <x v="0"/>
    <x v="3"/>
    <x v="7"/>
    <x v="9"/>
    <x v="2"/>
  </r>
  <r>
    <x v="1818"/>
    <x v="1"/>
    <x v="0"/>
    <n v="92"/>
    <n v="92"/>
    <x v="66"/>
    <d v="2025-03-12T00:00:00"/>
    <x v="0"/>
    <x v="2"/>
    <x v="0"/>
    <x v="0"/>
    <x v="3"/>
    <x v="5"/>
    <x v="9"/>
    <x v="0"/>
  </r>
  <r>
    <x v="1819"/>
    <x v="6"/>
    <x v="12"/>
    <n v="75.900000000000006"/>
    <n v="303.60000000000002"/>
    <x v="66"/>
    <d v="2025-03-10T00:00:00"/>
    <x v="2"/>
    <x v="1"/>
    <x v="0"/>
    <x v="0"/>
    <x v="3"/>
    <x v="1"/>
    <x v="9"/>
    <x v="2"/>
  </r>
  <r>
    <x v="1820"/>
    <x v="1"/>
    <x v="12"/>
    <n v="36.200000000000003"/>
    <n v="144.80000000000001"/>
    <x v="66"/>
    <d v="2025-03-09T00:00:00"/>
    <x v="2"/>
    <x v="1"/>
    <x v="0"/>
    <x v="0"/>
    <x v="3"/>
    <x v="3"/>
    <x v="9"/>
    <x v="2"/>
  </r>
  <r>
    <x v="1821"/>
    <x v="6"/>
    <x v="45"/>
    <n v="83.5"/>
    <n v="7264.5"/>
    <x v="66"/>
    <d v="2025-03-10T00:00:00"/>
    <x v="0"/>
    <x v="3"/>
    <x v="0"/>
    <x v="0"/>
    <x v="3"/>
    <x v="1"/>
    <x v="9"/>
    <x v="0"/>
  </r>
  <r>
    <x v="1822"/>
    <x v="19"/>
    <x v="4"/>
    <n v="52.4"/>
    <n v="628.79999999999995"/>
    <x v="66"/>
    <d v="2025-03-08T00:00:00"/>
    <x v="1"/>
    <x v="2"/>
    <x v="0"/>
    <x v="0"/>
    <x v="3"/>
    <x v="7"/>
    <x v="9"/>
    <x v="1"/>
  </r>
  <r>
    <x v="1823"/>
    <x v="12"/>
    <x v="2"/>
    <n v="69.5"/>
    <n v="208.5"/>
    <x v="66"/>
    <d v="2025-03-09T00:00:00"/>
    <x v="3"/>
    <x v="4"/>
    <x v="0"/>
    <x v="0"/>
    <x v="3"/>
    <x v="3"/>
    <x v="9"/>
    <x v="3"/>
  </r>
  <r>
    <x v="1824"/>
    <x v="0"/>
    <x v="0"/>
    <n v="15.5"/>
    <n v="15.5"/>
    <x v="66"/>
    <d v="2025-03-10T00:00:00"/>
    <x v="1"/>
    <x v="0"/>
    <x v="0"/>
    <x v="0"/>
    <x v="3"/>
    <x v="1"/>
    <x v="9"/>
    <x v="1"/>
  </r>
  <r>
    <x v="1825"/>
    <x v="4"/>
    <x v="12"/>
    <n v="35.200000000000003"/>
    <n v="140.80000000000001"/>
    <x v="66"/>
    <d v="2025-03-09T00:00:00"/>
    <x v="2"/>
    <x v="2"/>
    <x v="2"/>
    <x v="0"/>
    <x v="3"/>
    <x v="3"/>
    <x v="9"/>
    <x v="2"/>
  </r>
  <r>
    <x v="1826"/>
    <x v="8"/>
    <x v="13"/>
    <n v="34.6"/>
    <n v="207.60000000000002"/>
    <x v="66"/>
    <d v="2025-03-09T00:00:00"/>
    <x v="0"/>
    <x v="0"/>
    <x v="1"/>
    <x v="0"/>
    <x v="3"/>
    <x v="3"/>
    <x v="9"/>
    <x v="0"/>
  </r>
  <r>
    <x v="1827"/>
    <x v="4"/>
    <x v="0"/>
    <n v="21.3"/>
    <n v="21.3"/>
    <x v="67"/>
    <d v="2025-03-10T00:00:00"/>
    <x v="1"/>
    <x v="2"/>
    <x v="1"/>
    <x v="0"/>
    <x v="3"/>
    <x v="3"/>
    <x v="10"/>
    <x v="1"/>
  </r>
  <r>
    <x v="1828"/>
    <x v="6"/>
    <x v="1"/>
    <n v="136.5"/>
    <n v="273"/>
    <x v="67"/>
    <d v="2025-03-15T00:00:00"/>
    <x v="2"/>
    <x v="0"/>
    <x v="0"/>
    <x v="0"/>
    <x v="37"/>
    <x v="4"/>
    <x v="10"/>
    <x v="2"/>
  </r>
  <r>
    <x v="1829"/>
    <x v="9"/>
    <x v="3"/>
    <n v="30.7"/>
    <n v="214.9"/>
    <x v="67"/>
    <d v="2025-03-10T00:00:00"/>
    <x v="1"/>
    <x v="2"/>
    <x v="2"/>
    <x v="0"/>
    <x v="25"/>
    <x v="3"/>
    <x v="10"/>
    <x v="1"/>
  </r>
  <r>
    <x v="1830"/>
    <x v="1"/>
    <x v="1"/>
    <n v="61.6"/>
    <n v="123.2"/>
    <x v="67"/>
    <d v="2025-03-10T00:00:00"/>
    <x v="2"/>
    <x v="2"/>
    <x v="2"/>
    <x v="0"/>
    <x v="23"/>
    <x v="3"/>
    <x v="10"/>
    <x v="2"/>
  </r>
  <r>
    <x v="1831"/>
    <x v="6"/>
    <x v="12"/>
    <n v="54.3"/>
    <n v="217.2"/>
    <x v="67"/>
    <d v="2025-03-11T00:00:00"/>
    <x v="0"/>
    <x v="4"/>
    <x v="0"/>
    <x v="0"/>
    <x v="7"/>
    <x v="1"/>
    <x v="10"/>
    <x v="0"/>
  </r>
  <r>
    <x v="1832"/>
    <x v="1"/>
    <x v="1"/>
    <n v="44.1"/>
    <n v="88.2"/>
    <x v="67"/>
    <d v="2025-03-21T00:00:00"/>
    <x v="2"/>
    <x v="0"/>
    <x v="2"/>
    <x v="0"/>
    <x v="8"/>
    <x v="13"/>
    <x v="10"/>
    <x v="2"/>
  </r>
  <r>
    <x v="1833"/>
    <x v="8"/>
    <x v="12"/>
    <n v="43.5"/>
    <n v="174"/>
    <x v="67"/>
    <d v="2025-03-15T00:00:00"/>
    <x v="1"/>
    <x v="3"/>
    <x v="0"/>
    <x v="0"/>
    <x v="8"/>
    <x v="4"/>
    <x v="10"/>
    <x v="1"/>
  </r>
  <r>
    <x v="1834"/>
    <x v="8"/>
    <x v="2"/>
    <n v="48.2"/>
    <n v="144.60000000000002"/>
    <x v="67"/>
    <d v="2025-03-13T00:00:00"/>
    <x v="1"/>
    <x v="3"/>
    <x v="1"/>
    <x v="0"/>
    <x v="8"/>
    <x v="5"/>
    <x v="10"/>
    <x v="1"/>
  </r>
  <r>
    <x v="1835"/>
    <x v="19"/>
    <x v="0"/>
    <n v="13.7"/>
    <n v="13.7"/>
    <x v="67"/>
    <d v="2025-03-10T00:00:00"/>
    <x v="2"/>
    <x v="2"/>
    <x v="2"/>
    <x v="0"/>
    <x v="8"/>
    <x v="3"/>
    <x v="10"/>
    <x v="2"/>
  </r>
  <r>
    <x v="1836"/>
    <x v="2"/>
    <x v="1"/>
    <n v="110.5"/>
    <n v="221"/>
    <x v="67"/>
    <d v="2025-03-10T00:00:00"/>
    <x v="2"/>
    <x v="0"/>
    <x v="1"/>
    <x v="0"/>
    <x v="8"/>
    <x v="3"/>
    <x v="10"/>
    <x v="2"/>
  </r>
  <r>
    <x v="1837"/>
    <x v="8"/>
    <x v="2"/>
    <n v="26"/>
    <n v="78"/>
    <x v="67"/>
    <d v="2025-03-14T00:00:00"/>
    <x v="2"/>
    <x v="1"/>
    <x v="1"/>
    <x v="0"/>
    <x v="8"/>
    <x v="0"/>
    <x v="10"/>
    <x v="2"/>
  </r>
  <r>
    <x v="1838"/>
    <x v="2"/>
    <x v="7"/>
    <n v="140.69999999999999"/>
    <n v="1407"/>
    <x v="67"/>
    <d v="2025-03-15T00:00:00"/>
    <x v="1"/>
    <x v="3"/>
    <x v="1"/>
    <x v="0"/>
    <x v="8"/>
    <x v="4"/>
    <x v="10"/>
    <x v="1"/>
  </r>
  <r>
    <x v="1839"/>
    <x v="17"/>
    <x v="1"/>
    <n v="41.7"/>
    <n v="83.4"/>
    <x v="67"/>
    <d v="2025-03-17T00:00:00"/>
    <x v="2"/>
    <x v="0"/>
    <x v="4"/>
    <x v="0"/>
    <x v="8"/>
    <x v="9"/>
    <x v="10"/>
    <x v="2"/>
  </r>
  <r>
    <x v="1840"/>
    <x v="2"/>
    <x v="1"/>
    <n v="135.1"/>
    <n v="270.2"/>
    <x v="67"/>
    <d v="2025-03-10T00:00:00"/>
    <x v="1"/>
    <x v="0"/>
    <x v="2"/>
    <x v="0"/>
    <x v="17"/>
    <x v="3"/>
    <x v="10"/>
    <x v="1"/>
  </r>
  <r>
    <x v="1841"/>
    <x v="12"/>
    <x v="32"/>
    <n v="95.5"/>
    <n v="2101"/>
    <x v="67"/>
    <d v="2025-03-10T00:00:00"/>
    <x v="2"/>
    <x v="4"/>
    <x v="4"/>
    <x v="0"/>
    <x v="26"/>
    <x v="3"/>
    <x v="10"/>
    <x v="2"/>
  </r>
  <r>
    <x v="1842"/>
    <x v="15"/>
    <x v="0"/>
    <n v="25.5"/>
    <n v="25.5"/>
    <x v="67"/>
    <d v="2025-03-12T00:00:00"/>
    <x v="0"/>
    <x v="2"/>
    <x v="2"/>
    <x v="0"/>
    <x v="11"/>
    <x v="2"/>
    <x v="10"/>
    <x v="0"/>
  </r>
  <r>
    <x v="1843"/>
    <x v="1"/>
    <x v="0"/>
    <n v="42.6"/>
    <n v="42.6"/>
    <x v="67"/>
    <d v="2025-03-13T00:00:00"/>
    <x v="2"/>
    <x v="0"/>
    <x v="0"/>
    <x v="0"/>
    <x v="11"/>
    <x v="5"/>
    <x v="10"/>
    <x v="2"/>
  </r>
  <r>
    <x v="1844"/>
    <x v="8"/>
    <x v="20"/>
    <n v="32.4"/>
    <n v="486"/>
    <x v="67"/>
    <d v="2025-03-10T00:00:00"/>
    <x v="1"/>
    <x v="1"/>
    <x v="1"/>
    <x v="0"/>
    <x v="11"/>
    <x v="3"/>
    <x v="10"/>
    <x v="1"/>
  </r>
  <r>
    <x v="1845"/>
    <x v="4"/>
    <x v="12"/>
    <n v="20.2"/>
    <n v="80.8"/>
    <x v="67"/>
    <d v="2025-03-10T00:00:00"/>
    <x v="3"/>
    <x v="2"/>
    <x v="0"/>
    <x v="0"/>
    <x v="11"/>
    <x v="3"/>
    <x v="10"/>
    <x v="3"/>
  </r>
  <r>
    <x v="1846"/>
    <x v="16"/>
    <x v="2"/>
    <n v="52.5"/>
    <n v="157.5"/>
    <x v="67"/>
    <d v="2025-03-14T00:00:00"/>
    <x v="2"/>
    <x v="4"/>
    <x v="0"/>
    <x v="0"/>
    <x v="18"/>
    <x v="0"/>
    <x v="10"/>
    <x v="2"/>
  </r>
  <r>
    <x v="1847"/>
    <x v="2"/>
    <x v="9"/>
    <n v="59.9"/>
    <n v="299.5"/>
    <x v="67"/>
    <d v="2025-03-11T00:00:00"/>
    <x v="2"/>
    <x v="2"/>
    <x v="0"/>
    <x v="0"/>
    <x v="19"/>
    <x v="1"/>
    <x v="10"/>
    <x v="2"/>
  </r>
  <r>
    <x v="1848"/>
    <x v="4"/>
    <x v="1"/>
    <n v="53.2"/>
    <n v="106.4"/>
    <x v="67"/>
    <d v="2025-03-10T00:00:00"/>
    <x v="2"/>
    <x v="1"/>
    <x v="3"/>
    <x v="0"/>
    <x v="20"/>
    <x v="3"/>
    <x v="10"/>
    <x v="2"/>
  </r>
  <r>
    <x v="1849"/>
    <x v="2"/>
    <x v="1"/>
    <n v="60"/>
    <n v="120"/>
    <x v="67"/>
    <d v="2025-03-15T00:00:00"/>
    <x v="1"/>
    <x v="1"/>
    <x v="2"/>
    <x v="0"/>
    <x v="20"/>
    <x v="4"/>
    <x v="10"/>
    <x v="1"/>
  </r>
  <r>
    <x v="1850"/>
    <x v="8"/>
    <x v="2"/>
    <n v="29.3"/>
    <n v="87.9"/>
    <x v="67"/>
    <d v="2025-03-10T00:00:00"/>
    <x v="2"/>
    <x v="4"/>
    <x v="0"/>
    <x v="0"/>
    <x v="13"/>
    <x v="3"/>
    <x v="10"/>
    <x v="2"/>
  </r>
  <r>
    <x v="1851"/>
    <x v="12"/>
    <x v="1"/>
    <n v="55.4"/>
    <n v="110.8"/>
    <x v="67"/>
    <d v="2025-03-10T00:00:00"/>
    <x v="2"/>
    <x v="0"/>
    <x v="2"/>
    <x v="0"/>
    <x v="21"/>
    <x v="3"/>
    <x v="10"/>
    <x v="2"/>
  </r>
  <r>
    <x v="1852"/>
    <x v="0"/>
    <x v="9"/>
    <n v="20.100000000000001"/>
    <n v="100.5"/>
    <x v="67"/>
    <d v="2025-03-11T00:00:00"/>
    <x v="2"/>
    <x v="1"/>
    <x v="2"/>
    <x v="0"/>
    <x v="21"/>
    <x v="1"/>
    <x v="10"/>
    <x v="2"/>
  </r>
  <r>
    <x v="1853"/>
    <x v="14"/>
    <x v="9"/>
    <n v="24"/>
    <n v="120"/>
    <x v="67"/>
    <d v="2025-03-12T00:00:00"/>
    <x v="1"/>
    <x v="2"/>
    <x v="0"/>
    <x v="0"/>
    <x v="1"/>
    <x v="2"/>
    <x v="10"/>
    <x v="1"/>
  </r>
  <r>
    <x v="1854"/>
    <x v="8"/>
    <x v="1"/>
    <n v="30.6"/>
    <n v="61.2"/>
    <x v="68"/>
    <d v="2025-03-12T00:00:00"/>
    <x v="2"/>
    <x v="0"/>
    <x v="0"/>
    <x v="0"/>
    <x v="1"/>
    <x v="1"/>
    <x v="10"/>
    <x v="2"/>
  </r>
  <r>
    <x v="1855"/>
    <x v="10"/>
    <x v="9"/>
    <n v="33"/>
    <n v="165"/>
    <x v="68"/>
    <d v="2025-03-11T00:00:00"/>
    <x v="1"/>
    <x v="1"/>
    <x v="1"/>
    <x v="0"/>
    <x v="27"/>
    <x v="3"/>
    <x v="10"/>
    <x v="1"/>
  </r>
  <r>
    <x v="1856"/>
    <x v="17"/>
    <x v="11"/>
    <n v="42.1"/>
    <n v="378.90000000000003"/>
    <x v="68"/>
    <d v="2025-03-16T00:00:00"/>
    <x v="2"/>
    <x v="2"/>
    <x v="0"/>
    <x v="0"/>
    <x v="44"/>
    <x v="4"/>
    <x v="10"/>
    <x v="2"/>
  </r>
  <r>
    <x v="1857"/>
    <x v="6"/>
    <x v="3"/>
    <n v="77.7"/>
    <n v="543.9"/>
    <x v="68"/>
    <d v="2025-03-15T00:00:00"/>
    <x v="2"/>
    <x v="1"/>
    <x v="2"/>
    <x v="0"/>
    <x v="50"/>
    <x v="0"/>
    <x v="10"/>
    <x v="2"/>
  </r>
  <r>
    <x v="1858"/>
    <x v="17"/>
    <x v="13"/>
    <n v="22.7"/>
    <n v="136.19999999999999"/>
    <x v="68"/>
    <d v="2025-03-13T00:00:00"/>
    <x v="2"/>
    <x v="2"/>
    <x v="0"/>
    <x v="0"/>
    <x v="3"/>
    <x v="2"/>
    <x v="10"/>
    <x v="2"/>
  </r>
  <r>
    <x v="1859"/>
    <x v="2"/>
    <x v="1"/>
    <n v="133"/>
    <n v="266"/>
    <x v="68"/>
    <d v="2025-03-10T00:00:00"/>
    <x v="1"/>
    <x v="2"/>
    <x v="2"/>
    <x v="0"/>
    <x v="3"/>
    <x v="7"/>
    <x v="10"/>
    <x v="1"/>
  </r>
  <r>
    <x v="1860"/>
    <x v="0"/>
    <x v="1"/>
    <n v="23.3"/>
    <n v="46.6"/>
    <x v="68"/>
    <d v="2025-03-11T00:00:00"/>
    <x v="1"/>
    <x v="1"/>
    <x v="2"/>
    <x v="0"/>
    <x v="3"/>
    <x v="3"/>
    <x v="10"/>
    <x v="1"/>
  </r>
  <r>
    <x v="1861"/>
    <x v="8"/>
    <x v="2"/>
    <n v="20.7"/>
    <n v="62.099999999999994"/>
    <x v="68"/>
    <d v="2025-03-12T00:00:00"/>
    <x v="3"/>
    <x v="0"/>
    <x v="2"/>
    <x v="0"/>
    <x v="3"/>
    <x v="1"/>
    <x v="10"/>
    <x v="3"/>
  </r>
  <r>
    <x v="1862"/>
    <x v="12"/>
    <x v="1"/>
    <n v="47"/>
    <n v="94"/>
    <x v="68"/>
    <d v="2025-03-11T00:00:00"/>
    <x v="1"/>
    <x v="1"/>
    <x v="2"/>
    <x v="0"/>
    <x v="3"/>
    <x v="3"/>
    <x v="10"/>
    <x v="1"/>
  </r>
  <r>
    <x v="1863"/>
    <x v="12"/>
    <x v="2"/>
    <n v="38.200000000000003"/>
    <n v="114.60000000000001"/>
    <x v="68"/>
    <d v="2025-03-12T00:00:00"/>
    <x v="2"/>
    <x v="2"/>
    <x v="4"/>
    <x v="0"/>
    <x v="3"/>
    <x v="1"/>
    <x v="10"/>
    <x v="2"/>
  </r>
  <r>
    <x v="1864"/>
    <x v="9"/>
    <x v="0"/>
    <n v="39.1"/>
    <n v="39.1"/>
    <x v="68"/>
    <d v="2025-03-12T00:00:00"/>
    <x v="2"/>
    <x v="0"/>
    <x v="0"/>
    <x v="0"/>
    <x v="3"/>
    <x v="1"/>
    <x v="10"/>
    <x v="2"/>
  </r>
  <r>
    <x v="1865"/>
    <x v="7"/>
    <x v="30"/>
    <n v="55.6"/>
    <n v="1390"/>
    <x v="68"/>
    <d v="2025-03-12T00:00:00"/>
    <x v="1"/>
    <x v="0"/>
    <x v="2"/>
    <x v="0"/>
    <x v="3"/>
    <x v="1"/>
    <x v="10"/>
    <x v="1"/>
  </r>
  <r>
    <x v="1866"/>
    <x v="15"/>
    <x v="0"/>
    <n v="43.1"/>
    <n v="43.1"/>
    <x v="68"/>
    <d v="2025-03-10T00:00:00"/>
    <x v="3"/>
    <x v="1"/>
    <x v="2"/>
    <x v="0"/>
    <x v="3"/>
    <x v="7"/>
    <x v="10"/>
    <x v="3"/>
  </r>
  <r>
    <x v="1867"/>
    <x v="6"/>
    <x v="12"/>
    <n v="48.1"/>
    <n v="192.4"/>
    <x v="68"/>
    <d v="2025-03-11T00:00:00"/>
    <x v="2"/>
    <x v="4"/>
    <x v="2"/>
    <x v="0"/>
    <x v="3"/>
    <x v="3"/>
    <x v="10"/>
    <x v="2"/>
  </r>
  <r>
    <x v="1868"/>
    <x v="4"/>
    <x v="0"/>
    <n v="42"/>
    <n v="42"/>
    <x v="68"/>
    <d v="2025-03-11T00:00:00"/>
    <x v="3"/>
    <x v="0"/>
    <x v="0"/>
    <x v="0"/>
    <x v="3"/>
    <x v="3"/>
    <x v="10"/>
    <x v="3"/>
  </r>
  <r>
    <x v="1869"/>
    <x v="8"/>
    <x v="9"/>
    <n v="18.3"/>
    <n v="91.5"/>
    <x v="68"/>
    <d v="2025-03-10T00:00:00"/>
    <x v="2"/>
    <x v="2"/>
    <x v="0"/>
    <x v="0"/>
    <x v="3"/>
    <x v="7"/>
    <x v="10"/>
    <x v="2"/>
  </r>
  <r>
    <x v="1870"/>
    <x v="10"/>
    <x v="12"/>
    <n v="45.3"/>
    <n v="181.2"/>
    <x v="68"/>
    <d v="2025-03-13T00:00:00"/>
    <x v="2"/>
    <x v="0"/>
    <x v="2"/>
    <x v="0"/>
    <x v="3"/>
    <x v="2"/>
    <x v="10"/>
    <x v="2"/>
  </r>
  <r>
    <x v="1871"/>
    <x v="0"/>
    <x v="1"/>
    <n v="27.6"/>
    <n v="55.2"/>
    <x v="68"/>
    <d v="2025-03-12T00:00:00"/>
    <x v="1"/>
    <x v="0"/>
    <x v="2"/>
    <x v="0"/>
    <x v="37"/>
    <x v="1"/>
    <x v="10"/>
    <x v="1"/>
  </r>
  <r>
    <x v="1872"/>
    <x v="4"/>
    <x v="9"/>
    <n v="26.9"/>
    <n v="134.5"/>
    <x v="68"/>
    <d v="2025-03-11T00:00:00"/>
    <x v="2"/>
    <x v="2"/>
    <x v="0"/>
    <x v="0"/>
    <x v="25"/>
    <x v="3"/>
    <x v="10"/>
    <x v="2"/>
  </r>
  <r>
    <x v="1873"/>
    <x v="2"/>
    <x v="11"/>
    <n v="82.4"/>
    <n v="741.6"/>
    <x v="68"/>
    <d v="2025-03-12T00:00:00"/>
    <x v="3"/>
    <x v="2"/>
    <x v="0"/>
    <x v="0"/>
    <x v="5"/>
    <x v="1"/>
    <x v="10"/>
    <x v="3"/>
  </r>
  <r>
    <x v="1874"/>
    <x v="6"/>
    <x v="0"/>
    <n v="103.7"/>
    <n v="103.7"/>
    <x v="68"/>
    <d v="2025-03-12T00:00:00"/>
    <x v="2"/>
    <x v="1"/>
    <x v="0"/>
    <x v="0"/>
    <x v="5"/>
    <x v="1"/>
    <x v="10"/>
    <x v="2"/>
  </r>
  <r>
    <x v="1875"/>
    <x v="2"/>
    <x v="1"/>
    <n v="58.8"/>
    <n v="117.6"/>
    <x v="68"/>
    <d v="2025-03-15T00:00:00"/>
    <x v="2"/>
    <x v="1"/>
    <x v="2"/>
    <x v="0"/>
    <x v="6"/>
    <x v="0"/>
    <x v="10"/>
    <x v="2"/>
  </r>
  <r>
    <x v="1876"/>
    <x v="13"/>
    <x v="0"/>
    <n v="31.5"/>
    <n v="31.5"/>
    <x v="68"/>
    <d v="2025-03-11T00:00:00"/>
    <x v="2"/>
    <x v="1"/>
    <x v="1"/>
    <x v="0"/>
    <x v="6"/>
    <x v="3"/>
    <x v="10"/>
    <x v="2"/>
  </r>
  <r>
    <x v="1877"/>
    <x v="7"/>
    <x v="9"/>
    <n v="36.799999999999997"/>
    <n v="184"/>
    <x v="68"/>
    <d v="2025-03-12T00:00:00"/>
    <x v="2"/>
    <x v="0"/>
    <x v="0"/>
    <x v="0"/>
    <x v="8"/>
    <x v="1"/>
    <x v="10"/>
    <x v="2"/>
  </r>
  <r>
    <x v="1878"/>
    <x v="3"/>
    <x v="0"/>
    <n v="84.4"/>
    <n v="84.4"/>
    <x v="68"/>
    <d v="2025-03-11T00:00:00"/>
    <x v="2"/>
    <x v="0"/>
    <x v="0"/>
    <x v="0"/>
    <x v="8"/>
    <x v="3"/>
    <x v="10"/>
    <x v="2"/>
  </r>
  <r>
    <x v="1879"/>
    <x v="14"/>
    <x v="0"/>
    <n v="44.7"/>
    <n v="44.7"/>
    <x v="68"/>
    <d v="2025-03-11T00:00:00"/>
    <x v="1"/>
    <x v="0"/>
    <x v="1"/>
    <x v="0"/>
    <x v="8"/>
    <x v="3"/>
    <x v="10"/>
    <x v="1"/>
  </r>
  <r>
    <x v="1880"/>
    <x v="9"/>
    <x v="8"/>
    <n v="39.4"/>
    <n v="315.2"/>
    <x v="68"/>
    <d v="2025-03-11T00:00:00"/>
    <x v="2"/>
    <x v="1"/>
    <x v="2"/>
    <x v="0"/>
    <x v="8"/>
    <x v="3"/>
    <x v="10"/>
    <x v="2"/>
  </r>
  <r>
    <x v="1881"/>
    <x v="11"/>
    <x v="12"/>
    <n v="34.9"/>
    <n v="139.6"/>
    <x v="68"/>
    <d v="2025-03-12T00:00:00"/>
    <x v="2"/>
    <x v="0"/>
    <x v="2"/>
    <x v="0"/>
    <x v="8"/>
    <x v="1"/>
    <x v="10"/>
    <x v="2"/>
  </r>
  <r>
    <x v="1882"/>
    <x v="1"/>
    <x v="2"/>
    <n v="62.3"/>
    <n v="186.89999999999998"/>
    <x v="68"/>
    <d v="2025-03-12T00:00:00"/>
    <x v="1"/>
    <x v="4"/>
    <x v="2"/>
    <x v="0"/>
    <x v="8"/>
    <x v="1"/>
    <x v="10"/>
    <x v="1"/>
  </r>
  <r>
    <x v="1883"/>
    <x v="8"/>
    <x v="12"/>
    <n v="21.1"/>
    <n v="84.4"/>
    <x v="68"/>
    <d v="2025-03-13T00:00:00"/>
    <x v="1"/>
    <x v="3"/>
    <x v="0"/>
    <x v="0"/>
    <x v="8"/>
    <x v="2"/>
    <x v="10"/>
    <x v="1"/>
  </r>
  <r>
    <x v="1884"/>
    <x v="8"/>
    <x v="2"/>
    <n v="33.200000000000003"/>
    <n v="99.600000000000009"/>
    <x v="68"/>
    <d v="2025-03-24T00:00:00"/>
    <x v="0"/>
    <x v="0"/>
    <x v="4"/>
    <x v="0"/>
    <x v="8"/>
    <x v="12"/>
    <x v="10"/>
    <x v="0"/>
  </r>
  <r>
    <x v="1885"/>
    <x v="1"/>
    <x v="12"/>
    <n v="74.5"/>
    <n v="298"/>
    <x v="68"/>
    <d v="2025-03-11T00:00:00"/>
    <x v="1"/>
    <x v="4"/>
    <x v="0"/>
    <x v="0"/>
    <x v="8"/>
    <x v="3"/>
    <x v="10"/>
    <x v="1"/>
  </r>
  <r>
    <x v="1886"/>
    <x v="10"/>
    <x v="4"/>
    <n v="68.599999999999994"/>
    <n v="823.19999999999993"/>
    <x v="68"/>
    <d v="2025-03-13T00:00:00"/>
    <x v="2"/>
    <x v="0"/>
    <x v="2"/>
    <x v="0"/>
    <x v="8"/>
    <x v="2"/>
    <x v="10"/>
    <x v="2"/>
  </r>
  <r>
    <x v="1887"/>
    <x v="5"/>
    <x v="21"/>
    <n v="36.4"/>
    <n v="509.59999999999997"/>
    <x v="68"/>
    <d v="2025-03-12T00:00:00"/>
    <x v="2"/>
    <x v="0"/>
    <x v="1"/>
    <x v="0"/>
    <x v="9"/>
    <x v="1"/>
    <x v="10"/>
    <x v="2"/>
  </r>
  <r>
    <x v="1888"/>
    <x v="16"/>
    <x v="9"/>
    <n v="67.599999999999994"/>
    <n v="338"/>
    <x v="69"/>
    <d v="2025-03-14T00:00:00"/>
    <x v="2"/>
    <x v="4"/>
    <x v="1"/>
    <x v="0"/>
    <x v="9"/>
    <x v="2"/>
    <x v="10"/>
    <x v="2"/>
  </r>
  <r>
    <x v="1889"/>
    <x v="15"/>
    <x v="0"/>
    <n v="46.3"/>
    <n v="46.3"/>
    <x v="69"/>
    <d v="2025-03-12T00:00:00"/>
    <x v="1"/>
    <x v="2"/>
    <x v="0"/>
    <x v="0"/>
    <x v="9"/>
    <x v="3"/>
    <x v="10"/>
    <x v="1"/>
  </r>
  <r>
    <x v="1890"/>
    <x v="1"/>
    <x v="2"/>
    <n v="124.2"/>
    <n v="372.6"/>
    <x v="69"/>
    <d v="2025-03-13T00:00:00"/>
    <x v="2"/>
    <x v="1"/>
    <x v="2"/>
    <x v="0"/>
    <x v="11"/>
    <x v="1"/>
    <x v="10"/>
    <x v="2"/>
  </r>
  <r>
    <x v="1891"/>
    <x v="10"/>
    <x v="1"/>
    <n v="37"/>
    <n v="74"/>
    <x v="69"/>
    <d v="2025-03-17T00:00:00"/>
    <x v="1"/>
    <x v="0"/>
    <x v="0"/>
    <x v="0"/>
    <x v="11"/>
    <x v="4"/>
    <x v="10"/>
    <x v="1"/>
  </r>
  <r>
    <x v="1892"/>
    <x v="5"/>
    <x v="0"/>
    <n v="41.8"/>
    <n v="41.8"/>
    <x v="69"/>
    <d v="2025-03-12T00:00:00"/>
    <x v="1"/>
    <x v="2"/>
    <x v="0"/>
    <x v="0"/>
    <x v="31"/>
    <x v="3"/>
    <x v="10"/>
    <x v="1"/>
  </r>
  <r>
    <x v="1893"/>
    <x v="9"/>
    <x v="1"/>
    <n v="57.2"/>
    <n v="114.4"/>
    <x v="69"/>
    <d v="2025-03-13T00:00:00"/>
    <x v="1"/>
    <x v="2"/>
    <x v="1"/>
    <x v="0"/>
    <x v="20"/>
    <x v="1"/>
    <x v="10"/>
    <x v="1"/>
  </r>
  <r>
    <x v="1894"/>
    <x v="6"/>
    <x v="1"/>
    <n v="47.1"/>
    <n v="94.2"/>
    <x v="69"/>
    <d v="2025-03-13T00:00:00"/>
    <x v="2"/>
    <x v="0"/>
    <x v="4"/>
    <x v="0"/>
    <x v="20"/>
    <x v="1"/>
    <x v="10"/>
    <x v="2"/>
  </r>
  <r>
    <x v="1895"/>
    <x v="5"/>
    <x v="2"/>
    <n v="86.4"/>
    <n v="259.20000000000005"/>
    <x v="69"/>
    <d v="2025-03-12T00:00:00"/>
    <x v="1"/>
    <x v="2"/>
    <x v="1"/>
    <x v="0"/>
    <x v="52"/>
    <x v="3"/>
    <x v="10"/>
    <x v="1"/>
  </r>
  <r>
    <x v="1896"/>
    <x v="6"/>
    <x v="9"/>
    <n v="105"/>
    <n v="525"/>
    <x v="69"/>
    <d v="2025-03-14T00:00:00"/>
    <x v="1"/>
    <x v="0"/>
    <x v="0"/>
    <x v="0"/>
    <x v="13"/>
    <x v="2"/>
    <x v="10"/>
    <x v="1"/>
  </r>
  <r>
    <x v="1897"/>
    <x v="18"/>
    <x v="0"/>
    <n v="33"/>
    <n v="33"/>
    <x v="69"/>
    <d v="2025-03-14T00:00:00"/>
    <x v="1"/>
    <x v="4"/>
    <x v="0"/>
    <x v="0"/>
    <x v="21"/>
    <x v="2"/>
    <x v="10"/>
    <x v="1"/>
  </r>
  <r>
    <x v="1898"/>
    <x v="6"/>
    <x v="9"/>
    <n v="106.6"/>
    <n v="533"/>
    <x v="69"/>
    <d v="2025-03-24T00:00:00"/>
    <x v="2"/>
    <x v="2"/>
    <x v="0"/>
    <x v="0"/>
    <x v="1"/>
    <x v="10"/>
    <x v="10"/>
    <x v="2"/>
  </r>
  <r>
    <x v="1899"/>
    <x v="10"/>
    <x v="46"/>
    <n v="26.8"/>
    <n v="857.6"/>
    <x v="69"/>
    <d v="2025-03-12T00:00:00"/>
    <x v="2"/>
    <x v="2"/>
    <x v="0"/>
    <x v="0"/>
    <x v="1"/>
    <x v="3"/>
    <x v="10"/>
    <x v="2"/>
  </r>
  <r>
    <x v="1900"/>
    <x v="17"/>
    <x v="9"/>
    <n v="25.8"/>
    <n v="129"/>
    <x v="69"/>
    <d v="2025-03-11T00:00:00"/>
    <x v="2"/>
    <x v="1"/>
    <x v="2"/>
    <x v="0"/>
    <x v="3"/>
    <x v="7"/>
    <x v="10"/>
    <x v="2"/>
  </r>
  <r>
    <x v="1901"/>
    <x v="2"/>
    <x v="2"/>
    <n v="217"/>
    <n v="651"/>
    <x v="69"/>
    <d v="2025-03-12T00:00:00"/>
    <x v="2"/>
    <x v="1"/>
    <x v="1"/>
    <x v="0"/>
    <x v="3"/>
    <x v="3"/>
    <x v="10"/>
    <x v="2"/>
  </r>
  <r>
    <x v="1902"/>
    <x v="2"/>
    <x v="1"/>
    <n v="97.3"/>
    <n v="194.6"/>
    <x v="69"/>
    <d v="2025-03-12T00:00:00"/>
    <x v="1"/>
    <x v="2"/>
    <x v="4"/>
    <x v="0"/>
    <x v="3"/>
    <x v="3"/>
    <x v="10"/>
    <x v="1"/>
  </r>
  <r>
    <x v="1903"/>
    <x v="1"/>
    <x v="0"/>
    <n v="49.8"/>
    <n v="49.8"/>
    <x v="69"/>
    <d v="2025-03-12T00:00:00"/>
    <x v="2"/>
    <x v="0"/>
    <x v="0"/>
    <x v="0"/>
    <x v="3"/>
    <x v="3"/>
    <x v="10"/>
    <x v="2"/>
  </r>
  <r>
    <x v="1904"/>
    <x v="12"/>
    <x v="9"/>
    <n v="32.6"/>
    <n v="163"/>
    <x v="69"/>
    <d v="2025-03-12T00:00:00"/>
    <x v="2"/>
    <x v="0"/>
    <x v="0"/>
    <x v="0"/>
    <x v="3"/>
    <x v="3"/>
    <x v="10"/>
    <x v="2"/>
  </r>
  <r>
    <x v="1905"/>
    <x v="9"/>
    <x v="1"/>
    <n v="40.1"/>
    <n v="80.2"/>
    <x v="69"/>
    <d v="2025-03-14T00:00:00"/>
    <x v="1"/>
    <x v="1"/>
    <x v="2"/>
    <x v="0"/>
    <x v="3"/>
    <x v="2"/>
    <x v="10"/>
    <x v="1"/>
  </r>
  <r>
    <x v="1906"/>
    <x v="10"/>
    <x v="1"/>
    <n v="49.4"/>
    <n v="98.8"/>
    <x v="69"/>
    <d v="2025-03-13T00:00:00"/>
    <x v="1"/>
    <x v="1"/>
    <x v="0"/>
    <x v="0"/>
    <x v="3"/>
    <x v="1"/>
    <x v="10"/>
    <x v="1"/>
  </r>
  <r>
    <x v="1907"/>
    <x v="2"/>
    <x v="0"/>
    <n v="67.3"/>
    <n v="67.3"/>
    <x v="69"/>
    <d v="2025-03-12T00:00:00"/>
    <x v="2"/>
    <x v="0"/>
    <x v="2"/>
    <x v="0"/>
    <x v="3"/>
    <x v="3"/>
    <x v="10"/>
    <x v="2"/>
  </r>
  <r>
    <x v="1908"/>
    <x v="18"/>
    <x v="12"/>
    <n v="44.5"/>
    <n v="178"/>
    <x v="69"/>
    <d v="2025-03-14T00:00:00"/>
    <x v="0"/>
    <x v="1"/>
    <x v="0"/>
    <x v="0"/>
    <x v="3"/>
    <x v="2"/>
    <x v="10"/>
    <x v="0"/>
  </r>
  <r>
    <x v="1909"/>
    <x v="6"/>
    <x v="5"/>
    <n v="111.1"/>
    <n v="1222.0999999999999"/>
    <x v="69"/>
    <d v="2025-03-12T00:00:00"/>
    <x v="2"/>
    <x v="4"/>
    <x v="0"/>
    <x v="0"/>
    <x v="3"/>
    <x v="3"/>
    <x v="10"/>
    <x v="2"/>
  </r>
  <r>
    <x v="1910"/>
    <x v="8"/>
    <x v="2"/>
    <n v="19.7"/>
    <n v="59.099999999999994"/>
    <x v="69"/>
    <d v="2025-03-12T00:00:00"/>
    <x v="2"/>
    <x v="4"/>
    <x v="4"/>
    <x v="0"/>
    <x v="3"/>
    <x v="3"/>
    <x v="10"/>
    <x v="2"/>
  </r>
  <r>
    <x v="1911"/>
    <x v="1"/>
    <x v="0"/>
    <n v="40.299999999999997"/>
    <n v="40.299999999999997"/>
    <x v="69"/>
    <d v="2025-03-12T00:00:00"/>
    <x v="3"/>
    <x v="1"/>
    <x v="0"/>
    <x v="0"/>
    <x v="3"/>
    <x v="3"/>
    <x v="10"/>
    <x v="3"/>
  </r>
  <r>
    <x v="1912"/>
    <x v="6"/>
    <x v="1"/>
    <n v="108.8"/>
    <n v="217.6"/>
    <x v="69"/>
    <d v="2025-03-16T00:00:00"/>
    <x v="1"/>
    <x v="0"/>
    <x v="2"/>
    <x v="0"/>
    <x v="6"/>
    <x v="0"/>
    <x v="10"/>
    <x v="1"/>
  </r>
  <r>
    <x v="1913"/>
    <x v="8"/>
    <x v="2"/>
    <n v="48.2"/>
    <n v="144.60000000000002"/>
    <x v="69"/>
    <d v="2025-03-16T00:00:00"/>
    <x v="2"/>
    <x v="4"/>
    <x v="0"/>
    <x v="0"/>
    <x v="7"/>
    <x v="0"/>
    <x v="10"/>
    <x v="2"/>
  </r>
  <r>
    <x v="1914"/>
    <x v="2"/>
    <x v="2"/>
    <n v="104.7"/>
    <n v="314.10000000000002"/>
    <x v="69"/>
    <d v="2025-03-13T00:00:00"/>
    <x v="2"/>
    <x v="0"/>
    <x v="1"/>
    <x v="0"/>
    <x v="7"/>
    <x v="1"/>
    <x v="10"/>
    <x v="2"/>
  </r>
  <r>
    <x v="1915"/>
    <x v="1"/>
    <x v="1"/>
    <n v="80.599999999999994"/>
    <n v="161.19999999999999"/>
    <x v="69"/>
    <d v="2025-03-11T00:00:00"/>
    <x v="2"/>
    <x v="1"/>
    <x v="0"/>
    <x v="0"/>
    <x v="8"/>
    <x v="7"/>
    <x v="10"/>
    <x v="2"/>
  </r>
  <r>
    <x v="1916"/>
    <x v="6"/>
    <x v="0"/>
    <n v="65.5"/>
    <n v="65.5"/>
    <x v="69"/>
    <d v="2025-03-13T00:00:00"/>
    <x v="3"/>
    <x v="1"/>
    <x v="0"/>
    <x v="0"/>
    <x v="8"/>
    <x v="1"/>
    <x v="10"/>
    <x v="3"/>
  </r>
  <r>
    <x v="1917"/>
    <x v="9"/>
    <x v="2"/>
    <n v="61.4"/>
    <n v="184.2"/>
    <x v="69"/>
    <d v="2025-03-13T00:00:00"/>
    <x v="2"/>
    <x v="4"/>
    <x v="2"/>
    <x v="0"/>
    <x v="8"/>
    <x v="1"/>
    <x v="10"/>
    <x v="2"/>
  </r>
  <r>
    <x v="1918"/>
    <x v="0"/>
    <x v="0"/>
    <n v="12.5"/>
    <n v="12.5"/>
    <x v="70"/>
    <d v="2025-03-15T00:00:00"/>
    <x v="2"/>
    <x v="0"/>
    <x v="1"/>
    <x v="0"/>
    <x v="8"/>
    <x v="2"/>
    <x v="10"/>
    <x v="2"/>
  </r>
  <r>
    <x v="1919"/>
    <x v="4"/>
    <x v="12"/>
    <n v="35.1"/>
    <n v="140.4"/>
    <x v="70"/>
    <d v="2025-03-13T00:00:00"/>
    <x v="1"/>
    <x v="2"/>
    <x v="1"/>
    <x v="0"/>
    <x v="17"/>
    <x v="3"/>
    <x v="10"/>
    <x v="1"/>
  </r>
  <r>
    <x v="1920"/>
    <x v="5"/>
    <x v="1"/>
    <n v="55.7"/>
    <n v="111.4"/>
    <x v="70"/>
    <d v="2025-03-13T00:00:00"/>
    <x v="1"/>
    <x v="0"/>
    <x v="1"/>
    <x v="0"/>
    <x v="26"/>
    <x v="3"/>
    <x v="10"/>
    <x v="1"/>
  </r>
  <r>
    <x v="1921"/>
    <x v="7"/>
    <x v="1"/>
    <n v="57.7"/>
    <n v="115.4"/>
    <x v="70"/>
    <d v="2025-03-14T00:00:00"/>
    <x v="1"/>
    <x v="4"/>
    <x v="1"/>
    <x v="0"/>
    <x v="9"/>
    <x v="1"/>
    <x v="10"/>
    <x v="1"/>
  </r>
  <r>
    <x v="1922"/>
    <x v="2"/>
    <x v="13"/>
    <n v="85.7"/>
    <n v="514.20000000000005"/>
    <x v="70"/>
    <d v="2025-03-13T00:00:00"/>
    <x v="1"/>
    <x v="3"/>
    <x v="2"/>
    <x v="0"/>
    <x v="9"/>
    <x v="3"/>
    <x v="10"/>
    <x v="1"/>
  </r>
  <r>
    <x v="1923"/>
    <x v="2"/>
    <x v="2"/>
    <n v="86.9"/>
    <n v="260.70000000000005"/>
    <x v="70"/>
    <d v="2025-03-14T00:00:00"/>
    <x v="2"/>
    <x v="1"/>
    <x v="0"/>
    <x v="0"/>
    <x v="11"/>
    <x v="1"/>
    <x v="10"/>
    <x v="2"/>
  </r>
  <r>
    <x v="1924"/>
    <x v="18"/>
    <x v="1"/>
    <n v="46.4"/>
    <n v="92.8"/>
    <x v="70"/>
    <d v="2025-03-15T00:00:00"/>
    <x v="2"/>
    <x v="4"/>
    <x v="0"/>
    <x v="0"/>
    <x v="11"/>
    <x v="2"/>
    <x v="10"/>
    <x v="2"/>
  </r>
  <r>
    <x v="1925"/>
    <x v="5"/>
    <x v="2"/>
    <n v="25.4"/>
    <n v="76.199999999999989"/>
    <x v="70"/>
    <d v="2025-03-12T00:00:00"/>
    <x v="2"/>
    <x v="2"/>
    <x v="2"/>
    <x v="0"/>
    <x v="18"/>
    <x v="7"/>
    <x v="10"/>
    <x v="2"/>
  </r>
  <r>
    <x v="1926"/>
    <x v="10"/>
    <x v="2"/>
    <n v="47.8"/>
    <n v="143.39999999999998"/>
    <x v="70"/>
    <d v="2025-03-12T00:00:00"/>
    <x v="0"/>
    <x v="2"/>
    <x v="2"/>
    <x v="0"/>
    <x v="19"/>
    <x v="7"/>
    <x v="10"/>
    <x v="0"/>
  </r>
  <r>
    <x v="1927"/>
    <x v="8"/>
    <x v="10"/>
    <n v="18.399999999999999"/>
    <n v="349.59999999999997"/>
    <x v="70"/>
    <d v="2025-03-14T00:00:00"/>
    <x v="3"/>
    <x v="2"/>
    <x v="0"/>
    <x v="0"/>
    <x v="20"/>
    <x v="1"/>
    <x v="10"/>
    <x v="3"/>
  </r>
  <r>
    <x v="1928"/>
    <x v="12"/>
    <x v="2"/>
    <n v="65.5"/>
    <n v="196.5"/>
    <x v="70"/>
    <d v="2025-03-20T00:00:00"/>
    <x v="2"/>
    <x v="0"/>
    <x v="0"/>
    <x v="0"/>
    <x v="21"/>
    <x v="9"/>
    <x v="10"/>
    <x v="2"/>
  </r>
  <r>
    <x v="1929"/>
    <x v="10"/>
    <x v="1"/>
    <n v="50.6"/>
    <n v="101.2"/>
    <x v="70"/>
    <d v="2025-03-15T00:00:00"/>
    <x v="1"/>
    <x v="2"/>
    <x v="4"/>
    <x v="0"/>
    <x v="21"/>
    <x v="2"/>
    <x v="10"/>
    <x v="1"/>
  </r>
  <r>
    <x v="1930"/>
    <x v="3"/>
    <x v="9"/>
    <n v="69"/>
    <n v="345"/>
    <x v="70"/>
    <d v="2025-03-16T00:00:00"/>
    <x v="1"/>
    <x v="3"/>
    <x v="0"/>
    <x v="0"/>
    <x v="21"/>
    <x v="5"/>
    <x v="10"/>
    <x v="1"/>
  </r>
  <r>
    <x v="1931"/>
    <x v="9"/>
    <x v="8"/>
    <n v="51.1"/>
    <n v="408.8"/>
    <x v="70"/>
    <d v="2025-03-14T00:00:00"/>
    <x v="2"/>
    <x v="0"/>
    <x v="0"/>
    <x v="0"/>
    <x v="1"/>
    <x v="1"/>
    <x v="10"/>
    <x v="2"/>
  </r>
  <r>
    <x v="1932"/>
    <x v="9"/>
    <x v="0"/>
    <n v="36.1"/>
    <n v="36.1"/>
    <x v="70"/>
    <d v="2025-03-13T00:00:00"/>
    <x v="2"/>
    <x v="0"/>
    <x v="2"/>
    <x v="0"/>
    <x v="34"/>
    <x v="3"/>
    <x v="10"/>
    <x v="2"/>
  </r>
  <r>
    <x v="1933"/>
    <x v="14"/>
    <x v="0"/>
    <n v="18.7"/>
    <n v="18.7"/>
    <x v="70"/>
    <d v="2025-03-13T00:00:00"/>
    <x v="1"/>
    <x v="0"/>
    <x v="0"/>
    <x v="0"/>
    <x v="3"/>
    <x v="3"/>
    <x v="10"/>
    <x v="1"/>
  </r>
  <r>
    <x v="1934"/>
    <x v="17"/>
    <x v="0"/>
    <n v="30.1"/>
    <n v="30.1"/>
    <x v="70"/>
    <d v="2025-03-15T00:00:00"/>
    <x v="2"/>
    <x v="3"/>
    <x v="1"/>
    <x v="0"/>
    <x v="3"/>
    <x v="2"/>
    <x v="10"/>
    <x v="2"/>
  </r>
  <r>
    <x v="1935"/>
    <x v="8"/>
    <x v="0"/>
    <n v="16.3"/>
    <n v="16.3"/>
    <x v="70"/>
    <d v="2025-03-13T00:00:00"/>
    <x v="1"/>
    <x v="3"/>
    <x v="0"/>
    <x v="0"/>
    <x v="3"/>
    <x v="3"/>
    <x v="10"/>
    <x v="1"/>
  </r>
  <r>
    <x v="1936"/>
    <x v="1"/>
    <x v="2"/>
    <n v="63.8"/>
    <n v="191.39999999999998"/>
    <x v="70"/>
    <d v="2025-03-17T00:00:00"/>
    <x v="2"/>
    <x v="2"/>
    <x v="1"/>
    <x v="0"/>
    <x v="3"/>
    <x v="0"/>
    <x v="10"/>
    <x v="2"/>
  </r>
  <r>
    <x v="1937"/>
    <x v="1"/>
    <x v="3"/>
    <n v="73.900000000000006"/>
    <n v="517.30000000000007"/>
    <x v="70"/>
    <d v="2025-03-12T00:00:00"/>
    <x v="2"/>
    <x v="0"/>
    <x v="1"/>
    <x v="0"/>
    <x v="3"/>
    <x v="7"/>
    <x v="10"/>
    <x v="2"/>
  </r>
  <r>
    <x v="1938"/>
    <x v="0"/>
    <x v="1"/>
    <n v="20.2"/>
    <n v="40.4"/>
    <x v="70"/>
    <d v="2025-03-13T00:00:00"/>
    <x v="1"/>
    <x v="0"/>
    <x v="1"/>
    <x v="0"/>
    <x v="3"/>
    <x v="3"/>
    <x v="10"/>
    <x v="1"/>
  </r>
  <r>
    <x v="1939"/>
    <x v="11"/>
    <x v="5"/>
    <n v="29.5"/>
    <n v="324.5"/>
    <x v="70"/>
    <d v="2025-03-13T00:00:00"/>
    <x v="1"/>
    <x v="0"/>
    <x v="0"/>
    <x v="0"/>
    <x v="3"/>
    <x v="3"/>
    <x v="10"/>
    <x v="1"/>
  </r>
  <r>
    <x v="1940"/>
    <x v="15"/>
    <x v="3"/>
    <n v="37.9"/>
    <n v="265.3"/>
    <x v="70"/>
    <d v="2025-03-13T00:00:00"/>
    <x v="1"/>
    <x v="1"/>
    <x v="0"/>
    <x v="0"/>
    <x v="3"/>
    <x v="3"/>
    <x v="10"/>
    <x v="1"/>
  </r>
  <r>
    <x v="1941"/>
    <x v="2"/>
    <x v="0"/>
    <n v="56.5"/>
    <n v="56.5"/>
    <x v="70"/>
    <d v="2025-03-13T00:00:00"/>
    <x v="2"/>
    <x v="2"/>
    <x v="1"/>
    <x v="0"/>
    <x v="3"/>
    <x v="3"/>
    <x v="10"/>
    <x v="2"/>
  </r>
  <r>
    <x v="1942"/>
    <x v="2"/>
    <x v="1"/>
    <n v="66.900000000000006"/>
    <n v="133.80000000000001"/>
    <x v="70"/>
    <d v="2025-03-18T00:00:00"/>
    <x v="1"/>
    <x v="1"/>
    <x v="4"/>
    <x v="0"/>
    <x v="25"/>
    <x v="4"/>
    <x v="10"/>
    <x v="1"/>
  </r>
  <r>
    <x v="1943"/>
    <x v="2"/>
    <x v="9"/>
    <n v="51.9"/>
    <n v="259.5"/>
    <x v="70"/>
    <d v="2025-03-15T00:00:00"/>
    <x v="1"/>
    <x v="1"/>
    <x v="0"/>
    <x v="0"/>
    <x v="7"/>
    <x v="2"/>
    <x v="10"/>
    <x v="1"/>
  </r>
  <r>
    <x v="1944"/>
    <x v="2"/>
    <x v="1"/>
    <n v="75.599999999999994"/>
    <n v="151.19999999999999"/>
    <x v="70"/>
    <d v="2025-03-15T00:00:00"/>
    <x v="1"/>
    <x v="1"/>
    <x v="0"/>
    <x v="0"/>
    <x v="8"/>
    <x v="2"/>
    <x v="10"/>
    <x v="1"/>
  </r>
  <r>
    <x v="1945"/>
    <x v="12"/>
    <x v="13"/>
    <n v="47.3"/>
    <n v="283.79999999999995"/>
    <x v="70"/>
    <d v="2025-03-23T00:00:00"/>
    <x v="1"/>
    <x v="0"/>
    <x v="0"/>
    <x v="0"/>
    <x v="8"/>
    <x v="11"/>
    <x v="10"/>
    <x v="1"/>
  </r>
  <r>
    <x v="1946"/>
    <x v="4"/>
    <x v="0"/>
    <n v="20.6"/>
    <n v="20.6"/>
    <x v="70"/>
    <d v="2025-03-13T00:00:00"/>
    <x v="0"/>
    <x v="0"/>
    <x v="1"/>
    <x v="0"/>
    <x v="8"/>
    <x v="3"/>
    <x v="10"/>
    <x v="0"/>
  </r>
  <r>
    <x v="1947"/>
    <x v="6"/>
    <x v="2"/>
    <n v="49.7"/>
    <n v="149.10000000000002"/>
    <x v="70"/>
    <d v="2025-03-14T00:00:00"/>
    <x v="1"/>
    <x v="0"/>
    <x v="1"/>
    <x v="0"/>
    <x v="8"/>
    <x v="1"/>
    <x v="10"/>
    <x v="1"/>
  </r>
  <r>
    <x v="1948"/>
    <x v="3"/>
    <x v="0"/>
    <n v="37.9"/>
    <n v="37.9"/>
    <x v="70"/>
    <d v="2025-03-14T00:00:00"/>
    <x v="2"/>
    <x v="0"/>
    <x v="0"/>
    <x v="0"/>
    <x v="8"/>
    <x v="1"/>
    <x v="10"/>
    <x v="2"/>
  </r>
  <r>
    <x v="1949"/>
    <x v="13"/>
    <x v="20"/>
    <n v="32"/>
    <n v="480"/>
    <x v="70"/>
    <d v="2025-03-14T00:00:00"/>
    <x v="2"/>
    <x v="4"/>
    <x v="0"/>
    <x v="0"/>
    <x v="11"/>
    <x v="1"/>
    <x v="10"/>
    <x v="2"/>
  </r>
  <r>
    <x v="1950"/>
    <x v="10"/>
    <x v="16"/>
    <n v="38.5"/>
    <n v="693"/>
    <x v="71"/>
    <d v="2025-03-14T00:00:00"/>
    <x v="1"/>
    <x v="0"/>
    <x v="2"/>
    <x v="0"/>
    <x v="11"/>
    <x v="3"/>
    <x v="10"/>
    <x v="1"/>
  </r>
  <r>
    <x v="1951"/>
    <x v="0"/>
    <x v="12"/>
    <n v="11.7"/>
    <n v="46.8"/>
    <x v="71"/>
    <d v="2025-03-15T00:00:00"/>
    <x v="2"/>
    <x v="1"/>
    <x v="0"/>
    <x v="0"/>
    <x v="20"/>
    <x v="1"/>
    <x v="10"/>
    <x v="2"/>
  </r>
  <r>
    <x v="1952"/>
    <x v="3"/>
    <x v="13"/>
    <n v="83.8"/>
    <n v="502.79999999999995"/>
    <x v="71"/>
    <d v="2025-03-14T00:00:00"/>
    <x v="1"/>
    <x v="0"/>
    <x v="0"/>
    <x v="0"/>
    <x v="21"/>
    <x v="3"/>
    <x v="10"/>
    <x v="1"/>
  </r>
  <r>
    <x v="1953"/>
    <x v="0"/>
    <x v="3"/>
    <n v="14"/>
    <n v="98"/>
    <x v="71"/>
    <d v="2025-03-16T00:00:00"/>
    <x v="1"/>
    <x v="0"/>
    <x v="1"/>
    <x v="0"/>
    <x v="22"/>
    <x v="2"/>
    <x v="10"/>
    <x v="1"/>
  </r>
  <r>
    <x v="1954"/>
    <x v="16"/>
    <x v="12"/>
    <n v="77.3"/>
    <n v="309.2"/>
    <x v="71"/>
    <d v="2025-03-15T00:00:00"/>
    <x v="2"/>
    <x v="4"/>
    <x v="2"/>
    <x v="0"/>
    <x v="3"/>
    <x v="1"/>
    <x v="10"/>
    <x v="2"/>
  </r>
  <r>
    <x v="1955"/>
    <x v="2"/>
    <x v="1"/>
    <n v="76.900000000000006"/>
    <n v="153.80000000000001"/>
    <x v="71"/>
    <d v="2025-03-17T00:00:00"/>
    <x v="2"/>
    <x v="0"/>
    <x v="1"/>
    <x v="0"/>
    <x v="3"/>
    <x v="5"/>
    <x v="10"/>
    <x v="2"/>
  </r>
  <r>
    <x v="1956"/>
    <x v="1"/>
    <x v="0"/>
    <n v="48"/>
    <n v="48"/>
    <x v="71"/>
    <d v="2025-03-15T00:00:00"/>
    <x v="2"/>
    <x v="1"/>
    <x v="2"/>
    <x v="0"/>
    <x v="3"/>
    <x v="1"/>
    <x v="10"/>
    <x v="2"/>
  </r>
  <r>
    <x v="1957"/>
    <x v="2"/>
    <x v="0"/>
    <n v="94.5"/>
    <n v="94.5"/>
    <x v="71"/>
    <d v="2025-03-16T00:00:00"/>
    <x v="1"/>
    <x v="1"/>
    <x v="1"/>
    <x v="0"/>
    <x v="3"/>
    <x v="2"/>
    <x v="10"/>
    <x v="1"/>
  </r>
  <r>
    <x v="1958"/>
    <x v="10"/>
    <x v="2"/>
    <n v="58.4"/>
    <n v="175.2"/>
    <x v="71"/>
    <d v="2025-03-15T00:00:00"/>
    <x v="2"/>
    <x v="1"/>
    <x v="2"/>
    <x v="0"/>
    <x v="3"/>
    <x v="1"/>
    <x v="10"/>
    <x v="2"/>
  </r>
  <r>
    <x v="1959"/>
    <x v="7"/>
    <x v="15"/>
    <n v="42.2"/>
    <n v="548.6"/>
    <x v="71"/>
    <d v="2025-03-13T00:00:00"/>
    <x v="1"/>
    <x v="0"/>
    <x v="0"/>
    <x v="0"/>
    <x v="25"/>
    <x v="7"/>
    <x v="10"/>
    <x v="1"/>
  </r>
  <r>
    <x v="1960"/>
    <x v="6"/>
    <x v="1"/>
    <n v="152.19999999999999"/>
    <n v="304.39999999999998"/>
    <x v="71"/>
    <d v="2025-03-14T00:00:00"/>
    <x v="1"/>
    <x v="4"/>
    <x v="1"/>
    <x v="0"/>
    <x v="25"/>
    <x v="3"/>
    <x v="10"/>
    <x v="1"/>
  </r>
  <r>
    <x v="1961"/>
    <x v="6"/>
    <x v="25"/>
    <n v="72"/>
    <n v="1728"/>
    <x v="71"/>
    <d v="2025-03-14T00:00:00"/>
    <x v="1"/>
    <x v="0"/>
    <x v="1"/>
    <x v="0"/>
    <x v="6"/>
    <x v="3"/>
    <x v="10"/>
    <x v="1"/>
  </r>
  <r>
    <x v="1962"/>
    <x v="1"/>
    <x v="44"/>
    <n v="70.900000000000006"/>
    <n v="1630.7"/>
    <x v="71"/>
    <d v="2025-03-14T00:00:00"/>
    <x v="2"/>
    <x v="2"/>
    <x v="0"/>
    <x v="0"/>
    <x v="8"/>
    <x v="3"/>
    <x v="10"/>
    <x v="2"/>
  </r>
  <r>
    <x v="1963"/>
    <x v="2"/>
    <x v="1"/>
    <n v="53.7"/>
    <n v="107.4"/>
    <x v="71"/>
    <d v="2025-03-14T00:00:00"/>
    <x v="1"/>
    <x v="2"/>
    <x v="2"/>
    <x v="0"/>
    <x v="8"/>
    <x v="3"/>
    <x v="10"/>
    <x v="1"/>
  </r>
  <r>
    <x v="1964"/>
    <x v="9"/>
    <x v="12"/>
    <n v="42.9"/>
    <n v="171.6"/>
    <x v="71"/>
    <d v="2025-03-14T00:00:00"/>
    <x v="2"/>
    <x v="2"/>
    <x v="4"/>
    <x v="0"/>
    <x v="9"/>
    <x v="3"/>
    <x v="10"/>
    <x v="2"/>
  </r>
  <r>
    <x v="1965"/>
    <x v="2"/>
    <x v="3"/>
    <n v="107.5"/>
    <n v="752.5"/>
    <x v="71"/>
    <d v="2025-03-14T00:00:00"/>
    <x v="1"/>
    <x v="1"/>
    <x v="0"/>
    <x v="0"/>
    <x v="11"/>
    <x v="3"/>
    <x v="10"/>
    <x v="1"/>
  </r>
  <r>
    <x v="1966"/>
    <x v="17"/>
    <x v="27"/>
    <n v="21.5"/>
    <n v="344"/>
    <x v="71"/>
    <d v="2025-03-14T00:00:00"/>
    <x v="1"/>
    <x v="1"/>
    <x v="1"/>
    <x v="0"/>
    <x v="32"/>
    <x v="3"/>
    <x v="10"/>
    <x v="1"/>
  </r>
  <r>
    <x v="1967"/>
    <x v="3"/>
    <x v="9"/>
    <n v="85.3"/>
    <n v="426.5"/>
    <x v="71"/>
    <d v="2025-03-15T00:00:00"/>
    <x v="2"/>
    <x v="3"/>
    <x v="0"/>
    <x v="0"/>
    <x v="18"/>
    <x v="1"/>
    <x v="10"/>
    <x v="2"/>
  </r>
  <r>
    <x v="1968"/>
    <x v="7"/>
    <x v="9"/>
    <n v="80.8"/>
    <n v="404"/>
    <x v="71"/>
    <d v="2025-03-21T00:00:00"/>
    <x v="3"/>
    <x v="1"/>
    <x v="1"/>
    <x v="0"/>
    <x v="19"/>
    <x v="9"/>
    <x v="10"/>
    <x v="3"/>
  </r>
  <r>
    <x v="1969"/>
    <x v="2"/>
    <x v="2"/>
    <n v="123.1"/>
    <n v="369.29999999999995"/>
    <x v="71"/>
    <d v="2025-03-15T00:00:00"/>
    <x v="0"/>
    <x v="2"/>
    <x v="0"/>
    <x v="0"/>
    <x v="21"/>
    <x v="1"/>
    <x v="10"/>
    <x v="0"/>
  </r>
  <r>
    <x v="1970"/>
    <x v="8"/>
    <x v="1"/>
    <n v="36.9"/>
    <n v="73.8"/>
    <x v="71"/>
    <d v="2025-03-15T00:00:00"/>
    <x v="2"/>
    <x v="2"/>
    <x v="4"/>
    <x v="0"/>
    <x v="51"/>
    <x v="1"/>
    <x v="10"/>
    <x v="2"/>
  </r>
  <r>
    <x v="1971"/>
    <x v="11"/>
    <x v="9"/>
    <n v="40"/>
    <n v="200"/>
    <x v="71"/>
    <d v="2025-03-14T00:00:00"/>
    <x v="1"/>
    <x v="0"/>
    <x v="0"/>
    <x v="0"/>
    <x v="1"/>
    <x v="3"/>
    <x v="10"/>
    <x v="1"/>
  </r>
  <r>
    <x v="1972"/>
    <x v="6"/>
    <x v="2"/>
    <n v="55.5"/>
    <n v="166.5"/>
    <x v="71"/>
    <d v="2025-03-14T00:00:00"/>
    <x v="1"/>
    <x v="4"/>
    <x v="2"/>
    <x v="0"/>
    <x v="1"/>
    <x v="3"/>
    <x v="10"/>
    <x v="1"/>
  </r>
  <r>
    <x v="1973"/>
    <x v="0"/>
    <x v="12"/>
    <n v="20.5"/>
    <n v="82"/>
    <x v="71"/>
    <d v="2025-03-17T00:00:00"/>
    <x v="2"/>
    <x v="4"/>
    <x v="0"/>
    <x v="0"/>
    <x v="1"/>
    <x v="5"/>
    <x v="10"/>
    <x v="2"/>
  </r>
  <r>
    <x v="1974"/>
    <x v="18"/>
    <x v="12"/>
    <n v="50.1"/>
    <n v="200.4"/>
    <x v="71"/>
    <d v="2025-03-14T00:00:00"/>
    <x v="2"/>
    <x v="4"/>
    <x v="0"/>
    <x v="0"/>
    <x v="1"/>
    <x v="3"/>
    <x v="10"/>
    <x v="2"/>
  </r>
  <r>
    <x v="1975"/>
    <x v="9"/>
    <x v="0"/>
    <n v="35.9"/>
    <n v="35.9"/>
    <x v="71"/>
    <d v="2025-03-15T00:00:00"/>
    <x v="1"/>
    <x v="1"/>
    <x v="2"/>
    <x v="0"/>
    <x v="1"/>
    <x v="1"/>
    <x v="10"/>
    <x v="1"/>
  </r>
  <r>
    <x v="1976"/>
    <x v="13"/>
    <x v="12"/>
    <n v="29.4"/>
    <n v="117.6"/>
    <x v="72"/>
    <d v="2025-03-15T00:00:00"/>
    <x v="1"/>
    <x v="2"/>
    <x v="2"/>
    <x v="0"/>
    <x v="33"/>
    <x v="3"/>
    <x v="10"/>
    <x v="1"/>
  </r>
  <r>
    <x v="1977"/>
    <x v="8"/>
    <x v="9"/>
    <n v="29.1"/>
    <n v="145.5"/>
    <x v="72"/>
    <d v="2025-03-22T00:00:00"/>
    <x v="3"/>
    <x v="2"/>
    <x v="1"/>
    <x v="0"/>
    <x v="33"/>
    <x v="9"/>
    <x v="10"/>
    <x v="3"/>
  </r>
  <r>
    <x v="1978"/>
    <x v="8"/>
    <x v="2"/>
    <n v="33.5"/>
    <n v="100.5"/>
    <x v="72"/>
    <d v="2025-03-26T00:00:00"/>
    <x v="1"/>
    <x v="0"/>
    <x v="2"/>
    <x v="0"/>
    <x v="22"/>
    <x v="13"/>
    <x v="10"/>
    <x v="1"/>
  </r>
  <r>
    <x v="1979"/>
    <x v="4"/>
    <x v="7"/>
    <n v="36"/>
    <n v="360"/>
    <x v="72"/>
    <d v="2025-03-14T00:00:00"/>
    <x v="1"/>
    <x v="3"/>
    <x v="2"/>
    <x v="0"/>
    <x v="3"/>
    <x v="7"/>
    <x v="10"/>
    <x v="1"/>
  </r>
  <r>
    <x v="1980"/>
    <x v="16"/>
    <x v="2"/>
    <n v="57.3"/>
    <n v="171.89999999999998"/>
    <x v="72"/>
    <d v="2025-03-18T00:00:00"/>
    <x v="2"/>
    <x v="0"/>
    <x v="2"/>
    <x v="0"/>
    <x v="3"/>
    <x v="5"/>
    <x v="10"/>
    <x v="2"/>
  </r>
  <r>
    <x v="1981"/>
    <x v="1"/>
    <x v="0"/>
    <n v="81.400000000000006"/>
    <n v="81.400000000000006"/>
    <x v="72"/>
    <d v="2025-03-15T00:00:00"/>
    <x v="2"/>
    <x v="2"/>
    <x v="2"/>
    <x v="0"/>
    <x v="3"/>
    <x v="3"/>
    <x v="10"/>
    <x v="2"/>
  </r>
  <r>
    <x v="1982"/>
    <x v="10"/>
    <x v="1"/>
    <n v="35.299999999999997"/>
    <n v="70.599999999999994"/>
    <x v="72"/>
    <d v="2025-03-18T00:00:00"/>
    <x v="1"/>
    <x v="0"/>
    <x v="2"/>
    <x v="0"/>
    <x v="3"/>
    <x v="5"/>
    <x v="10"/>
    <x v="1"/>
  </r>
  <r>
    <x v="1983"/>
    <x v="3"/>
    <x v="0"/>
    <n v="36.1"/>
    <n v="36.1"/>
    <x v="72"/>
    <d v="2025-03-15T00:00:00"/>
    <x v="2"/>
    <x v="4"/>
    <x v="0"/>
    <x v="0"/>
    <x v="3"/>
    <x v="3"/>
    <x v="10"/>
    <x v="2"/>
  </r>
  <r>
    <x v="1984"/>
    <x v="1"/>
    <x v="1"/>
    <n v="36.700000000000003"/>
    <n v="73.400000000000006"/>
    <x v="72"/>
    <d v="2025-03-16T00:00:00"/>
    <x v="2"/>
    <x v="0"/>
    <x v="2"/>
    <x v="0"/>
    <x v="3"/>
    <x v="1"/>
    <x v="10"/>
    <x v="2"/>
  </r>
  <r>
    <x v="1985"/>
    <x v="10"/>
    <x v="0"/>
    <n v="20.9"/>
    <n v="20.9"/>
    <x v="72"/>
    <d v="2025-03-16T00:00:00"/>
    <x v="2"/>
    <x v="0"/>
    <x v="4"/>
    <x v="0"/>
    <x v="3"/>
    <x v="1"/>
    <x v="10"/>
    <x v="2"/>
  </r>
  <r>
    <x v="1986"/>
    <x v="12"/>
    <x v="2"/>
    <n v="58.8"/>
    <n v="176.39999999999998"/>
    <x v="72"/>
    <d v="2025-03-18T00:00:00"/>
    <x v="1"/>
    <x v="0"/>
    <x v="2"/>
    <x v="0"/>
    <x v="25"/>
    <x v="5"/>
    <x v="10"/>
    <x v="1"/>
  </r>
  <r>
    <x v="1987"/>
    <x v="2"/>
    <x v="2"/>
    <n v="97.6"/>
    <n v="292.79999999999995"/>
    <x v="73"/>
    <d v="2025-03-17T00:00:00"/>
    <x v="0"/>
    <x v="0"/>
    <x v="0"/>
    <x v="0"/>
    <x v="6"/>
    <x v="1"/>
    <x v="10"/>
    <x v="0"/>
  </r>
  <r>
    <x v="1988"/>
    <x v="1"/>
    <x v="1"/>
    <n v="58.7"/>
    <n v="117.4"/>
    <x v="73"/>
    <d v="2025-03-18T00:00:00"/>
    <x v="2"/>
    <x v="0"/>
    <x v="1"/>
    <x v="0"/>
    <x v="6"/>
    <x v="2"/>
    <x v="10"/>
    <x v="2"/>
  </r>
  <r>
    <x v="1989"/>
    <x v="6"/>
    <x v="9"/>
    <n v="71.900000000000006"/>
    <n v="359.5"/>
    <x v="73"/>
    <d v="2025-03-16T00:00:00"/>
    <x v="0"/>
    <x v="0"/>
    <x v="1"/>
    <x v="0"/>
    <x v="6"/>
    <x v="3"/>
    <x v="10"/>
    <x v="0"/>
  </r>
  <r>
    <x v="1990"/>
    <x v="1"/>
    <x v="1"/>
    <n v="62.4"/>
    <n v="124.8"/>
    <x v="73"/>
    <d v="2025-03-17T00:00:00"/>
    <x v="0"/>
    <x v="0"/>
    <x v="1"/>
    <x v="0"/>
    <x v="8"/>
    <x v="1"/>
    <x v="10"/>
    <x v="0"/>
  </r>
  <r>
    <x v="1991"/>
    <x v="6"/>
    <x v="27"/>
    <n v="53.8"/>
    <n v="860.8"/>
    <x v="73"/>
    <d v="2025-03-16T00:00:00"/>
    <x v="2"/>
    <x v="1"/>
    <x v="0"/>
    <x v="0"/>
    <x v="8"/>
    <x v="3"/>
    <x v="10"/>
    <x v="2"/>
  </r>
  <r>
    <x v="1992"/>
    <x v="9"/>
    <x v="0"/>
    <n v="43.8"/>
    <n v="43.8"/>
    <x v="73"/>
    <d v="2025-03-22T00:00:00"/>
    <x v="2"/>
    <x v="0"/>
    <x v="2"/>
    <x v="0"/>
    <x v="8"/>
    <x v="6"/>
    <x v="10"/>
    <x v="2"/>
  </r>
  <r>
    <x v="1993"/>
    <x v="5"/>
    <x v="2"/>
    <n v="53.6"/>
    <n v="160.80000000000001"/>
    <x v="73"/>
    <d v="2025-03-16T00:00:00"/>
    <x v="1"/>
    <x v="3"/>
    <x v="0"/>
    <x v="0"/>
    <x v="8"/>
    <x v="3"/>
    <x v="10"/>
    <x v="1"/>
  </r>
  <r>
    <x v="1994"/>
    <x v="12"/>
    <x v="1"/>
    <n v="84.3"/>
    <n v="168.6"/>
    <x v="73"/>
    <d v="2025-03-18T00:00:00"/>
    <x v="1"/>
    <x v="4"/>
    <x v="1"/>
    <x v="0"/>
    <x v="8"/>
    <x v="2"/>
    <x v="10"/>
    <x v="1"/>
  </r>
  <r>
    <x v="1995"/>
    <x v="6"/>
    <x v="11"/>
    <n v="117.9"/>
    <n v="1061.1000000000001"/>
    <x v="73"/>
    <d v="2025-03-16T00:00:00"/>
    <x v="2"/>
    <x v="1"/>
    <x v="2"/>
    <x v="0"/>
    <x v="8"/>
    <x v="3"/>
    <x v="10"/>
    <x v="2"/>
  </r>
  <r>
    <x v="1996"/>
    <x v="4"/>
    <x v="8"/>
    <n v="30"/>
    <n v="240"/>
    <x v="73"/>
    <d v="2025-03-16T00:00:00"/>
    <x v="2"/>
    <x v="1"/>
    <x v="0"/>
    <x v="0"/>
    <x v="26"/>
    <x v="3"/>
    <x v="10"/>
    <x v="2"/>
  </r>
  <r>
    <x v="1997"/>
    <x v="14"/>
    <x v="2"/>
    <n v="37.299999999999997"/>
    <n v="111.89999999999999"/>
    <x v="73"/>
    <d v="2025-03-16T00:00:00"/>
    <x v="1"/>
    <x v="2"/>
    <x v="0"/>
    <x v="0"/>
    <x v="9"/>
    <x v="3"/>
    <x v="10"/>
    <x v="1"/>
  </r>
  <r>
    <x v="1998"/>
    <x v="4"/>
    <x v="11"/>
    <n v="25.1"/>
    <n v="225.9"/>
    <x v="73"/>
    <d v="2025-03-17T00:00:00"/>
    <x v="1"/>
    <x v="1"/>
    <x v="2"/>
    <x v="0"/>
    <x v="11"/>
    <x v="1"/>
    <x v="10"/>
    <x v="1"/>
  </r>
  <r>
    <x v="1999"/>
    <x v="8"/>
    <x v="5"/>
    <n v="36"/>
    <n v="396"/>
    <x v="73"/>
    <d v="2025-03-25T00:00:00"/>
    <x v="1"/>
    <x v="1"/>
    <x v="0"/>
    <x v="0"/>
    <x v="18"/>
    <x v="14"/>
    <x v="10"/>
    <x v="1"/>
  </r>
  <r>
    <x v="2000"/>
    <x v="16"/>
    <x v="2"/>
    <n v="48.5"/>
    <n v="145.5"/>
    <x v="73"/>
    <d v="2025-03-19T00:00:00"/>
    <x v="2"/>
    <x v="1"/>
    <x v="0"/>
    <x v="0"/>
    <x v="19"/>
    <x v="5"/>
    <x v="10"/>
    <x v="2"/>
  </r>
  <r>
    <x v="2001"/>
    <x v="17"/>
    <x v="13"/>
    <n v="21.1"/>
    <n v="126.60000000000001"/>
    <x v="73"/>
    <d v="2025-03-16T00:00:00"/>
    <x v="1"/>
    <x v="1"/>
    <x v="2"/>
    <x v="0"/>
    <x v="21"/>
    <x v="3"/>
    <x v="10"/>
    <x v="1"/>
  </r>
  <r>
    <x v="2002"/>
    <x v="15"/>
    <x v="21"/>
    <n v="43.2"/>
    <n v="604.80000000000007"/>
    <x v="73"/>
    <d v="2025-03-16T00:00:00"/>
    <x v="3"/>
    <x v="0"/>
    <x v="1"/>
    <x v="0"/>
    <x v="21"/>
    <x v="3"/>
    <x v="10"/>
    <x v="3"/>
  </r>
  <r>
    <x v="2003"/>
    <x v="9"/>
    <x v="1"/>
    <n v="21.1"/>
    <n v="42.2"/>
    <x v="73"/>
    <d v="2025-03-16T00:00:00"/>
    <x v="0"/>
    <x v="3"/>
    <x v="1"/>
    <x v="0"/>
    <x v="21"/>
    <x v="3"/>
    <x v="10"/>
    <x v="0"/>
  </r>
  <r>
    <x v="2004"/>
    <x v="6"/>
    <x v="12"/>
    <n v="41.3"/>
    <n v="165.2"/>
    <x v="73"/>
    <d v="2025-03-17T00:00:00"/>
    <x v="2"/>
    <x v="3"/>
    <x v="2"/>
    <x v="0"/>
    <x v="1"/>
    <x v="1"/>
    <x v="10"/>
    <x v="2"/>
  </r>
  <r>
    <x v="2005"/>
    <x v="8"/>
    <x v="1"/>
    <n v="15.3"/>
    <n v="30.6"/>
    <x v="73"/>
    <d v="2025-03-18T00:00:00"/>
    <x v="0"/>
    <x v="2"/>
    <x v="2"/>
    <x v="0"/>
    <x v="1"/>
    <x v="2"/>
    <x v="10"/>
    <x v="0"/>
  </r>
  <r>
    <x v="2006"/>
    <x v="1"/>
    <x v="0"/>
    <n v="54.6"/>
    <n v="54.6"/>
    <x v="73"/>
    <d v="2025-03-17T00:00:00"/>
    <x v="1"/>
    <x v="1"/>
    <x v="1"/>
    <x v="0"/>
    <x v="2"/>
    <x v="1"/>
    <x v="10"/>
    <x v="1"/>
  </r>
  <r>
    <x v="2007"/>
    <x v="8"/>
    <x v="0"/>
    <n v="15.9"/>
    <n v="15.9"/>
    <x v="73"/>
    <d v="2025-03-16T00:00:00"/>
    <x v="1"/>
    <x v="0"/>
    <x v="1"/>
    <x v="0"/>
    <x v="22"/>
    <x v="3"/>
    <x v="10"/>
    <x v="1"/>
  </r>
  <r>
    <x v="2008"/>
    <x v="9"/>
    <x v="0"/>
    <n v="50.2"/>
    <n v="50.2"/>
    <x v="73"/>
    <d v="2025-03-17T00:00:00"/>
    <x v="2"/>
    <x v="3"/>
    <x v="2"/>
    <x v="0"/>
    <x v="34"/>
    <x v="1"/>
    <x v="10"/>
    <x v="2"/>
  </r>
  <r>
    <x v="2009"/>
    <x v="11"/>
    <x v="12"/>
    <n v="85.1"/>
    <n v="340.4"/>
    <x v="73"/>
    <d v="2025-03-16T00:00:00"/>
    <x v="2"/>
    <x v="3"/>
    <x v="4"/>
    <x v="0"/>
    <x v="34"/>
    <x v="3"/>
    <x v="10"/>
    <x v="2"/>
  </r>
  <r>
    <x v="2010"/>
    <x v="11"/>
    <x v="1"/>
    <n v="41.4"/>
    <n v="82.8"/>
    <x v="73"/>
    <d v="2025-03-16T00:00:00"/>
    <x v="2"/>
    <x v="0"/>
    <x v="2"/>
    <x v="0"/>
    <x v="3"/>
    <x v="3"/>
    <x v="10"/>
    <x v="2"/>
  </r>
  <r>
    <x v="2011"/>
    <x v="4"/>
    <x v="3"/>
    <n v="32.700000000000003"/>
    <n v="228.90000000000003"/>
    <x v="73"/>
    <d v="2025-03-16T00:00:00"/>
    <x v="2"/>
    <x v="2"/>
    <x v="1"/>
    <x v="0"/>
    <x v="3"/>
    <x v="3"/>
    <x v="10"/>
    <x v="2"/>
  </r>
  <r>
    <x v="2012"/>
    <x v="4"/>
    <x v="1"/>
    <n v="41.6"/>
    <n v="83.2"/>
    <x v="73"/>
    <d v="2025-03-17T00:00:00"/>
    <x v="1"/>
    <x v="4"/>
    <x v="1"/>
    <x v="0"/>
    <x v="3"/>
    <x v="1"/>
    <x v="10"/>
    <x v="1"/>
  </r>
  <r>
    <x v="2013"/>
    <x v="5"/>
    <x v="12"/>
    <n v="64.8"/>
    <n v="259.2"/>
    <x v="73"/>
    <d v="2025-03-16T00:00:00"/>
    <x v="0"/>
    <x v="2"/>
    <x v="0"/>
    <x v="0"/>
    <x v="3"/>
    <x v="3"/>
    <x v="10"/>
    <x v="0"/>
  </r>
  <r>
    <x v="2014"/>
    <x v="15"/>
    <x v="1"/>
    <n v="33.6"/>
    <n v="67.2"/>
    <x v="73"/>
    <d v="2025-03-16T00:00:00"/>
    <x v="1"/>
    <x v="0"/>
    <x v="2"/>
    <x v="0"/>
    <x v="3"/>
    <x v="3"/>
    <x v="10"/>
    <x v="1"/>
  </r>
  <r>
    <x v="2015"/>
    <x v="6"/>
    <x v="2"/>
    <n v="100.7"/>
    <n v="302.10000000000002"/>
    <x v="73"/>
    <d v="2025-03-16T00:00:00"/>
    <x v="0"/>
    <x v="1"/>
    <x v="0"/>
    <x v="0"/>
    <x v="3"/>
    <x v="3"/>
    <x v="10"/>
    <x v="0"/>
  </r>
  <r>
    <x v="2016"/>
    <x v="4"/>
    <x v="1"/>
    <n v="49.3"/>
    <n v="98.6"/>
    <x v="74"/>
    <d v="2025-03-18T00:00:00"/>
    <x v="2"/>
    <x v="4"/>
    <x v="2"/>
    <x v="0"/>
    <x v="3"/>
    <x v="1"/>
    <x v="11"/>
    <x v="2"/>
  </r>
  <r>
    <x v="2017"/>
    <x v="2"/>
    <x v="13"/>
    <n v="97"/>
    <n v="582"/>
    <x v="74"/>
    <d v="2025-03-19T00:00:00"/>
    <x v="1"/>
    <x v="2"/>
    <x v="2"/>
    <x v="0"/>
    <x v="3"/>
    <x v="2"/>
    <x v="11"/>
    <x v="1"/>
  </r>
  <r>
    <x v="2018"/>
    <x v="0"/>
    <x v="13"/>
    <n v="25.2"/>
    <n v="151.19999999999999"/>
    <x v="74"/>
    <d v="2025-03-19T00:00:00"/>
    <x v="2"/>
    <x v="4"/>
    <x v="2"/>
    <x v="0"/>
    <x v="3"/>
    <x v="2"/>
    <x v="11"/>
    <x v="2"/>
  </r>
  <r>
    <x v="2019"/>
    <x v="0"/>
    <x v="5"/>
    <n v="12.2"/>
    <n v="134.19999999999999"/>
    <x v="74"/>
    <d v="2025-03-17T00:00:00"/>
    <x v="0"/>
    <x v="0"/>
    <x v="1"/>
    <x v="0"/>
    <x v="3"/>
    <x v="3"/>
    <x v="11"/>
    <x v="0"/>
  </r>
  <r>
    <x v="2020"/>
    <x v="8"/>
    <x v="3"/>
    <n v="38.799999999999997"/>
    <n v="271.59999999999997"/>
    <x v="74"/>
    <d v="2025-03-18T00:00:00"/>
    <x v="2"/>
    <x v="1"/>
    <x v="1"/>
    <x v="0"/>
    <x v="23"/>
    <x v="1"/>
    <x v="11"/>
    <x v="2"/>
  </r>
  <r>
    <x v="2021"/>
    <x v="2"/>
    <x v="12"/>
    <n v="53.2"/>
    <n v="212.8"/>
    <x v="74"/>
    <d v="2025-03-17T00:00:00"/>
    <x v="1"/>
    <x v="0"/>
    <x v="2"/>
    <x v="0"/>
    <x v="8"/>
    <x v="3"/>
    <x v="11"/>
    <x v="1"/>
  </r>
  <r>
    <x v="2022"/>
    <x v="6"/>
    <x v="3"/>
    <n v="151"/>
    <n v="1057"/>
    <x v="74"/>
    <d v="2025-03-17T00:00:00"/>
    <x v="3"/>
    <x v="1"/>
    <x v="1"/>
    <x v="0"/>
    <x v="8"/>
    <x v="3"/>
    <x v="11"/>
    <x v="3"/>
  </r>
  <r>
    <x v="2023"/>
    <x v="1"/>
    <x v="1"/>
    <n v="37.1"/>
    <n v="74.2"/>
    <x v="74"/>
    <d v="2025-03-17T00:00:00"/>
    <x v="2"/>
    <x v="4"/>
    <x v="0"/>
    <x v="0"/>
    <x v="8"/>
    <x v="3"/>
    <x v="11"/>
    <x v="2"/>
  </r>
  <r>
    <x v="2024"/>
    <x v="5"/>
    <x v="1"/>
    <n v="38.9"/>
    <n v="77.8"/>
    <x v="74"/>
    <d v="2025-03-17T00:00:00"/>
    <x v="1"/>
    <x v="4"/>
    <x v="0"/>
    <x v="0"/>
    <x v="8"/>
    <x v="3"/>
    <x v="11"/>
    <x v="1"/>
  </r>
  <r>
    <x v="2025"/>
    <x v="10"/>
    <x v="1"/>
    <n v="35.200000000000003"/>
    <n v="70.400000000000006"/>
    <x v="74"/>
    <d v="2025-03-17T00:00:00"/>
    <x v="1"/>
    <x v="0"/>
    <x v="2"/>
    <x v="0"/>
    <x v="17"/>
    <x v="3"/>
    <x v="11"/>
    <x v="1"/>
  </r>
  <r>
    <x v="2026"/>
    <x v="0"/>
    <x v="1"/>
    <n v="22.3"/>
    <n v="44.6"/>
    <x v="74"/>
    <d v="2025-03-18T00:00:00"/>
    <x v="2"/>
    <x v="1"/>
    <x v="0"/>
    <x v="0"/>
    <x v="9"/>
    <x v="1"/>
    <x v="11"/>
    <x v="2"/>
  </r>
  <r>
    <x v="2027"/>
    <x v="9"/>
    <x v="0"/>
    <n v="43.3"/>
    <n v="43.3"/>
    <x v="74"/>
    <d v="2025-03-19T00:00:00"/>
    <x v="2"/>
    <x v="0"/>
    <x v="2"/>
    <x v="0"/>
    <x v="11"/>
    <x v="2"/>
    <x v="11"/>
    <x v="2"/>
  </r>
  <r>
    <x v="2028"/>
    <x v="6"/>
    <x v="13"/>
    <n v="75.900000000000006"/>
    <n v="455.40000000000003"/>
    <x v="74"/>
    <d v="2025-03-22T00:00:00"/>
    <x v="1"/>
    <x v="0"/>
    <x v="0"/>
    <x v="0"/>
    <x v="11"/>
    <x v="4"/>
    <x v="11"/>
    <x v="1"/>
  </r>
  <r>
    <x v="2029"/>
    <x v="6"/>
    <x v="2"/>
    <n v="78.7"/>
    <n v="236.10000000000002"/>
    <x v="74"/>
    <d v="2025-03-20T00:00:00"/>
    <x v="2"/>
    <x v="2"/>
    <x v="1"/>
    <x v="0"/>
    <x v="11"/>
    <x v="5"/>
    <x v="11"/>
    <x v="2"/>
  </r>
  <r>
    <x v="2030"/>
    <x v="1"/>
    <x v="0"/>
    <n v="66.3"/>
    <n v="66.3"/>
    <x v="74"/>
    <d v="2025-03-20T00:00:00"/>
    <x v="2"/>
    <x v="0"/>
    <x v="2"/>
    <x v="0"/>
    <x v="19"/>
    <x v="5"/>
    <x v="11"/>
    <x v="2"/>
  </r>
  <r>
    <x v="2031"/>
    <x v="8"/>
    <x v="1"/>
    <n v="33.6"/>
    <n v="67.2"/>
    <x v="74"/>
    <d v="2025-03-16T00:00:00"/>
    <x v="1"/>
    <x v="0"/>
    <x v="1"/>
    <x v="0"/>
    <x v="19"/>
    <x v="7"/>
    <x v="11"/>
    <x v="1"/>
  </r>
  <r>
    <x v="2032"/>
    <x v="2"/>
    <x v="3"/>
    <n v="61.4"/>
    <n v="429.8"/>
    <x v="74"/>
    <d v="2025-03-17T00:00:00"/>
    <x v="1"/>
    <x v="4"/>
    <x v="0"/>
    <x v="0"/>
    <x v="19"/>
    <x v="3"/>
    <x v="11"/>
    <x v="1"/>
  </r>
  <r>
    <x v="2033"/>
    <x v="8"/>
    <x v="1"/>
    <n v="17.5"/>
    <n v="35"/>
    <x v="74"/>
    <d v="2025-03-19T00:00:00"/>
    <x v="2"/>
    <x v="0"/>
    <x v="0"/>
    <x v="0"/>
    <x v="21"/>
    <x v="2"/>
    <x v="11"/>
    <x v="2"/>
  </r>
  <r>
    <x v="2034"/>
    <x v="8"/>
    <x v="1"/>
    <n v="32.5"/>
    <n v="65"/>
    <x v="74"/>
    <d v="2025-03-19T00:00:00"/>
    <x v="2"/>
    <x v="1"/>
    <x v="0"/>
    <x v="0"/>
    <x v="21"/>
    <x v="2"/>
    <x v="11"/>
    <x v="2"/>
  </r>
  <r>
    <x v="2035"/>
    <x v="4"/>
    <x v="0"/>
    <n v="34.6"/>
    <n v="34.6"/>
    <x v="74"/>
    <d v="2025-03-17T00:00:00"/>
    <x v="2"/>
    <x v="4"/>
    <x v="0"/>
    <x v="0"/>
    <x v="21"/>
    <x v="3"/>
    <x v="11"/>
    <x v="2"/>
  </r>
  <r>
    <x v="2036"/>
    <x v="2"/>
    <x v="0"/>
    <n v="75.900000000000006"/>
    <n v="75.900000000000006"/>
    <x v="74"/>
    <d v="2025-03-16T00:00:00"/>
    <x v="1"/>
    <x v="1"/>
    <x v="2"/>
    <x v="0"/>
    <x v="21"/>
    <x v="7"/>
    <x v="11"/>
    <x v="1"/>
  </r>
  <r>
    <x v="2037"/>
    <x v="1"/>
    <x v="2"/>
    <n v="42.1"/>
    <n v="126.30000000000001"/>
    <x v="74"/>
    <d v="2025-03-19T00:00:00"/>
    <x v="1"/>
    <x v="1"/>
    <x v="1"/>
    <x v="0"/>
    <x v="21"/>
    <x v="2"/>
    <x v="11"/>
    <x v="1"/>
  </r>
  <r>
    <x v="2038"/>
    <x v="7"/>
    <x v="2"/>
    <n v="65.3"/>
    <n v="195.89999999999998"/>
    <x v="74"/>
    <d v="2025-03-23T00:00:00"/>
    <x v="1"/>
    <x v="0"/>
    <x v="0"/>
    <x v="0"/>
    <x v="1"/>
    <x v="6"/>
    <x v="11"/>
    <x v="1"/>
  </r>
  <r>
    <x v="2039"/>
    <x v="15"/>
    <x v="0"/>
    <n v="20.6"/>
    <n v="20.6"/>
    <x v="74"/>
    <d v="2025-03-19T00:00:00"/>
    <x v="1"/>
    <x v="3"/>
    <x v="0"/>
    <x v="0"/>
    <x v="42"/>
    <x v="2"/>
    <x v="11"/>
    <x v="1"/>
  </r>
  <r>
    <x v="2040"/>
    <x v="8"/>
    <x v="3"/>
    <n v="16.5"/>
    <n v="115.5"/>
    <x v="74"/>
    <d v="2025-03-17T00:00:00"/>
    <x v="1"/>
    <x v="1"/>
    <x v="1"/>
    <x v="0"/>
    <x v="2"/>
    <x v="3"/>
    <x v="11"/>
    <x v="1"/>
  </r>
  <r>
    <x v="2041"/>
    <x v="16"/>
    <x v="7"/>
    <n v="36.200000000000003"/>
    <n v="362"/>
    <x v="74"/>
    <d v="2025-03-18T00:00:00"/>
    <x v="1"/>
    <x v="0"/>
    <x v="2"/>
    <x v="0"/>
    <x v="2"/>
    <x v="1"/>
    <x v="11"/>
    <x v="1"/>
  </r>
  <r>
    <x v="2042"/>
    <x v="6"/>
    <x v="0"/>
    <n v="53.2"/>
    <n v="53.2"/>
    <x v="74"/>
    <d v="2025-03-17T00:00:00"/>
    <x v="2"/>
    <x v="0"/>
    <x v="1"/>
    <x v="0"/>
    <x v="22"/>
    <x v="3"/>
    <x v="11"/>
    <x v="2"/>
  </r>
  <r>
    <x v="2043"/>
    <x v="2"/>
    <x v="21"/>
    <n v="176"/>
    <n v="2464"/>
    <x v="74"/>
    <d v="2025-03-17T00:00:00"/>
    <x v="2"/>
    <x v="0"/>
    <x v="1"/>
    <x v="0"/>
    <x v="3"/>
    <x v="3"/>
    <x v="11"/>
    <x v="2"/>
  </r>
  <r>
    <x v="2044"/>
    <x v="1"/>
    <x v="0"/>
    <n v="52.4"/>
    <n v="52.4"/>
    <x v="74"/>
    <d v="2025-03-17T00:00:00"/>
    <x v="1"/>
    <x v="1"/>
    <x v="0"/>
    <x v="0"/>
    <x v="3"/>
    <x v="3"/>
    <x v="11"/>
    <x v="1"/>
  </r>
  <r>
    <x v="2045"/>
    <x v="10"/>
    <x v="2"/>
    <n v="48.2"/>
    <n v="144.60000000000002"/>
    <x v="74"/>
    <d v="2025-03-17T00:00:00"/>
    <x v="2"/>
    <x v="1"/>
    <x v="2"/>
    <x v="0"/>
    <x v="3"/>
    <x v="3"/>
    <x v="11"/>
    <x v="2"/>
  </r>
  <r>
    <x v="2046"/>
    <x v="15"/>
    <x v="0"/>
    <n v="51.6"/>
    <n v="51.6"/>
    <x v="74"/>
    <d v="2025-03-20T00:00:00"/>
    <x v="2"/>
    <x v="2"/>
    <x v="1"/>
    <x v="0"/>
    <x v="3"/>
    <x v="5"/>
    <x v="11"/>
    <x v="2"/>
  </r>
  <r>
    <x v="2047"/>
    <x v="0"/>
    <x v="12"/>
    <n v="33.700000000000003"/>
    <n v="134.80000000000001"/>
    <x v="75"/>
    <d v="2025-03-18T00:00:00"/>
    <x v="1"/>
    <x v="0"/>
    <x v="0"/>
    <x v="0"/>
    <x v="3"/>
    <x v="3"/>
    <x v="11"/>
    <x v="1"/>
  </r>
  <r>
    <x v="2048"/>
    <x v="4"/>
    <x v="7"/>
    <n v="36.299999999999997"/>
    <n v="363"/>
    <x v="75"/>
    <d v="2025-03-19T00:00:00"/>
    <x v="2"/>
    <x v="4"/>
    <x v="1"/>
    <x v="0"/>
    <x v="3"/>
    <x v="1"/>
    <x v="11"/>
    <x v="2"/>
  </r>
  <r>
    <x v="2049"/>
    <x v="8"/>
    <x v="0"/>
    <n v="23.4"/>
    <n v="23.4"/>
    <x v="75"/>
    <d v="2025-03-22T00:00:00"/>
    <x v="2"/>
    <x v="1"/>
    <x v="2"/>
    <x v="0"/>
    <x v="3"/>
    <x v="0"/>
    <x v="11"/>
    <x v="2"/>
  </r>
  <r>
    <x v="2050"/>
    <x v="15"/>
    <x v="8"/>
    <n v="56.6"/>
    <n v="452.8"/>
    <x v="75"/>
    <d v="2025-03-19T00:00:00"/>
    <x v="2"/>
    <x v="1"/>
    <x v="0"/>
    <x v="0"/>
    <x v="3"/>
    <x v="1"/>
    <x v="11"/>
    <x v="2"/>
  </r>
  <r>
    <x v="2051"/>
    <x v="15"/>
    <x v="1"/>
    <n v="26.8"/>
    <n v="53.6"/>
    <x v="75"/>
    <d v="2025-03-18T00:00:00"/>
    <x v="1"/>
    <x v="0"/>
    <x v="0"/>
    <x v="0"/>
    <x v="4"/>
    <x v="3"/>
    <x v="11"/>
    <x v="1"/>
  </r>
  <r>
    <x v="2052"/>
    <x v="0"/>
    <x v="2"/>
    <n v="11.3"/>
    <n v="33.900000000000006"/>
    <x v="75"/>
    <d v="2025-03-19T00:00:00"/>
    <x v="1"/>
    <x v="2"/>
    <x v="0"/>
    <x v="0"/>
    <x v="25"/>
    <x v="1"/>
    <x v="11"/>
    <x v="1"/>
  </r>
  <r>
    <x v="2053"/>
    <x v="6"/>
    <x v="2"/>
    <n v="60.1"/>
    <n v="180.3"/>
    <x v="75"/>
    <d v="2025-03-20T00:00:00"/>
    <x v="2"/>
    <x v="0"/>
    <x v="0"/>
    <x v="0"/>
    <x v="7"/>
    <x v="2"/>
    <x v="11"/>
    <x v="2"/>
  </r>
  <r>
    <x v="2054"/>
    <x v="0"/>
    <x v="5"/>
    <n v="27.7"/>
    <n v="304.7"/>
    <x v="75"/>
    <d v="2025-03-22T00:00:00"/>
    <x v="2"/>
    <x v="0"/>
    <x v="0"/>
    <x v="0"/>
    <x v="8"/>
    <x v="0"/>
    <x v="11"/>
    <x v="2"/>
  </r>
  <r>
    <x v="2055"/>
    <x v="15"/>
    <x v="0"/>
    <n v="71.400000000000006"/>
    <n v="71.400000000000006"/>
    <x v="75"/>
    <d v="2025-03-20T00:00:00"/>
    <x v="1"/>
    <x v="0"/>
    <x v="2"/>
    <x v="0"/>
    <x v="8"/>
    <x v="2"/>
    <x v="11"/>
    <x v="1"/>
  </r>
  <r>
    <x v="2056"/>
    <x v="2"/>
    <x v="1"/>
    <n v="66.7"/>
    <n v="133.4"/>
    <x v="75"/>
    <d v="2025-03-18T00:00:00"/>
    <x v="2"/>
    <x v="0"/>
    <x v="2"/>
    <x v="0"/>
    <x v="8"/>
    <x v="3"/>
    <x v="11"/>
    <x v="2"/>
  </r>
  <r>
    <x v="2057"/>
    <x v="13"/>
    <x v="9"/>
    <n v="39.1"/>
    <n v="195.5"/>
    <x v="75"/>
    <d v="2025-03-18T00:00:00"/>
    <x v="2"/>
    <x v="0"/>
    <x v="0"/>
    <x v="0"/>
    <x v="8"/>
    <x v="3"/>
    <x v="11"/>
    <x v="2"/>
  </r>
  <r>
    <x v="2058"/>
    <x v="8"/>
    <x v="12"/>
    <n v="24.9"/>
    <n v="99.6"/>
    <x v="75"/>
    <d v="2025-03-22T00:00:00"/>
    <x v="1"/>
    <x v="1"/>
    <x v="2"/>
    <x v="0"/>
    <x v="8"/>
    <x v="0"/>
    <x v="11"/>
    <x v="1"/>
  </r>
  <r>
    <x v="2059"/>
    <x v="5"/>
    <x v="9"/>
    <n v="29.2"/>
    <n v="146"/>
    <x v="75"/>
    <d v="2025-03-18T00:00:00"/>
    <x v="1"/>
    <x v="0"/>
    <x v="2"/>
    <x v="0"/>
    <x v="17"/>
    <x v="3"/>
    <x v="11"/>
    <x v="1"/>
  </r>
  <r>
    <x v="2060"/>
    <x v="13"/>
    <x v="21"/>
    <n v="28.3"/>
    <n v="396.2"/>
    <x v="75"/>
    <d v="2025-03-19T00:00:00"/>
    <x v="2"/>
    <x v="1"/>
    <x v="0"/>
    <x v="0"/>
    <x v="11"/>
    <x v="1"/>
    <x v="11"/>
    <x v="2"/>
  </r>
  <r>
    <x v="2061"/>
    <x v="9"/>
    <x v="2"/>
    <n v="37.799999999999997"/>
    <n v="113.39999999999999"/>
    <x v="75"/>
    <d v="2025-03-18T00:00:00"/>
    <x v="2"/>
    <x v="0"/>
    <x v="1"/>
    <x v="0"/>
    <x v="11"/>
    <x v="3"/>
    <x v="11"/>
    <x v="2"/>
  </r>
  <r>
    <x v="2062"/>
    <x v="14"/>
    <x v="3"/>
    <n v="28.1"/>
    <n v="196.70000000000002"/>
    <x v="75"/>
    <d v="2025-03-23T00:00:00"/>
    <x v="2"/>
    <x v="2"/>
    <x v="0"/>
    <x v="0"/>
    <x v="11"/>
    <x v="4"/>
    <x v="11"/>
    <x v="2"/>
  </r>
  <r>
    <x v="2063"/>
    <x v="1"/>
    <x v="2"/>
    <n v="59.7"/>
    <n v="179.10000000000002"/>
    <x v="75"/>
    <d v="2025-03-19T00:00:00"/>
    <x v="2"/>
    <x v="2"/>
    <x v="0"/>
    <x v="0"/>
    <x v="11"/>
    <x v="1"/>
    <x v="11"/>
    <x v="2"/>
  </r>
  <r>
    <x v="2064"/>
    <x v="16"/>
    <x v="0"/>
    <n v="71.900000000000006"/>
    <n v="71.900000000000006"/>
    <x v="75"/>
    <d v="2025-03-18T00:00:00"/>
    <x v="1"/>
    <x v="1"/>
    <x v="1"/>
    <x v="0"/>
    <x v="11"/>
    <x v="3"/>
    <x v="11"/>
    <x v="1"/>
  </r>
  <r>
    <x v="2065"/>
    <x v="1"/>
    <x v="1"/>
    <n v="56.9"/>
    <n v="113.8"/>
    <x v="75"/>
    <d v="2025-03-18T00:00:00"/>
    <x v="1"/>
    <x v="2"/>
    <x v="0"/>
    <x v="0"/>
    <x v="13"/>
    <x v="3"/>
    <x v="11"/>
    <x v="1"/>
  </r>
  <r>
    <x v="2066"/>
    <x v="8"/>
    <x v="1"/>
    <n v="15.8"/>
    <n v="31.6"/>
    <x v="75"/>
    <d v="2025-03-20T00:00:00"/>
    <x v="2"/>
    <x v="2"/>
    <x v="1"/>
    <x v="0"/>
    <x v="1"/>
    <x v="2"/>
    <x v="11"/>
    <x v="2"/>
  </r>
  <r>
    <x v="2067"/>
    <x v="11"/>
    <x v="12"/>
    <n v="61.7"/>
    <n v="246.8"/>
    <x v="75"/>
    <d v="2025-03-19T00:00:00"/>
    <x v="2"/>
    <x v="2"/>
    <x v="0"/>
    <x v="0"/>
    <x v="22"/>
    <x v="1"/>
    <x v="11"/>
    <x v="2"/>
  </r>
  <r>
    <x v="2068"/>
    <x v="2"/>
    <x v="7"/>
    <n v="105.2"/>
    <n v="1052"/>
    <x v="75"/>
    <d v="2025-03-19T00:00:00"/>
    <x v="1"/>
    <x v="1"/>
    <x v="4"/>
    <x v="0"/>
    <x v="3"/>
    <x v="1"/>
    <x v="11"/>
    <x v="1"/>
  </r>
  <r>
    <x v="2069"/>
    <x v="0"/>
    <x v="1"/>
    <n v="17"/>
    <n v="34"/>
    <x v="75"/>
    <d v="2025-03-19T00:00:00"/>
    <x v="2"/>
    <x v="2"/>
    <x v="0"/>
    <x v="0"/>
    <x v="3"/>
    <x v="1"/>
    <x v="11"/>
    <x v="2"/>
  </r>
  <r>
    <x v="2070"/>
    <x v="6"/>
    <x v="2"/>
    <n v="84.1"/>
    <n v="252.29999999999998"/>
    <x v="75"/>
    <d v="2025-03-18T00:00:00"/>
    <x v="1"/>
    <x v="2"/>
    <x v="0"/>
    <x v="0"/>
    <x v="3"/>
    <x v="3"/>
    <x v="11"/>
    <x v="1"/>
  </r>
  <r>
    <x v="2071"/>
    <x v="3"/>
    <x v="12"/>
    <n v="59.5"/>
    <n v="238"/>
    <x v="75"/>
    <d v="2025-03-22T00:00:00"/>
    <x v="1"/>
    <x v="0"/>
    <x v="2"/>
    <x v="0"/>
    <x v="3"/>
    <x v="0"/>
    <x v="11"/>
    <x v="1"/>
  </r>
  <r>
    <x v="2072"/>
    <x v="8"/>
    <x v="1"/>
    <n v="57.5"/>
    <n v="115"/>
    <x v="75"/>
    <d v="2025-03-19T00:00:00"/>
    <x v="1"/>
    <x v="1"/>
    <x v="2"/>
    <x v="0"/>
    <x v="3"/>
    <x v="1"/>
    <x v="11"/>
    <x v="1"/>
  </r>
  <r>
    <x v="2073"/>
    <x v="8"/>
    <x v="0"/>
    <n v="34.299999999999997"/>
    <n v="34.299999999999997"/>
    <x v="75"/>
    <d v="2025-03-18T00:00:00"/>
    <x v="2"/>
    <x v="4"/>
    <x v="2"/>
    <x v="0"/>
    <x v="3"/>
    <x v="3"/>
    <x v="11"/>
    <x v="2"/>
  </r>
  <r>
    <x v="2074"/>
    <x v="5"/>
    <x v="1"/>
    <n v="27.8"/>
    <n v="55.6"/>
    <x v="76"/>
    <d v="2025-03-20T00:00:00"/>
    <x v="2"/>
    <x v="0"/>
    <x v="0"/>
    <x v="0"/>
    <x v="3"/>
    <x v="1"/>
    <x v="11"/>
    <x v="2"/>
  </r>
  <r>
    <x v="2075"/>
    <x v="12"/>
    <x v="1"/>
    <n v="85"/>
    <n v="170"/>
    <x v="76"/>
    <d v="2025-03-18T00:00:00"/>
    <x v="1"/>
    <x v="2"/>
    <x v="2"/>
    <x v="0"/>
    <x v="3"/>
    <x v="7"/>
    <x v="11"/>
    <x v="1"/>
  </r>
  <r>
    <x v="2076"/>
    <x v="6"/>
    <x v="1"/>
    <n v="95"/>
    <n v="190"/>
    <x v="76"/>
    <d v="2025-03-20T00:00:00"/>
    <x v="2"/>
    <x v="0"/>
    <x v="0"/>
    <x v="0"/>
    <x v="3"/>
    <x v="1"/>
    <x v="11"/>
    <x v="2"/>
  </r>
  <r>
    <x v="2077"/>
    <x v="16"/>
    <x v="1"/>
    <n v="32"/>
    <n v="64"/>
    <x v="76"/>
    <d v="2025-03-20T00:00:00"/>
    <x v="1"/>
    <x v="0"/>
    <x v="1"/>
    <x v="0"/>
    <x v="3"/>
    <x v="1"/>
    <x v="11"/>
    <x v="1"/>
  </r>
  <r>
    <x v="2078"/>
    <x v="2"/>
    <x v="1"/>
    <n v="65.2"/>
    <n v="130.4"/>
    <x v="76"/>
    <d v="2025-03-19T00:00:00"/>
    <x v="2"/>
    <x v="1"/>
    <x v="0"/>
    <x v="0"/>
    <x v="3"/>
    <x v="3"/>
    <x v="11"/>
    <x v="2"/>
  </r>
  <r>
    <x v="2079"/>
    <x v="17"/>
    <x v="12"/>
    <n v="22"/>
    <n v="88"/>
    <x v="76"/>
    <d v="2025-03-19T00:00:00"/>
    <x v="1"/>
    <x v="1"/>
    <x v="2"/>
    <x v="0"/>
    <x v="3"/>
    <x v="3"/>
    <x v="11"/>
    <x v="1"/>
  </r>
  <r>
    <x v="2080"/>
    <x v="15"/>
    <x v="2"/>
    <n v="69.400000000000006"/>
    <n v="208.20000000000002"/>
    <x v="76"/>
    <d v="2025-03-21T00:00:00"/>
    <x v="1"/>
    <x v="1"/>
    <x v="2"/>
    <x v="0"/>
    <x v="3"/>
    <x v="2"/>
    <x v="11"/>
    <x v="1"/>
  </r>
  <r>
    <x v="2081"/>
    <x v="10"/>
    <x v="13"/>
    <n v="31.5"/>
    <n v="189"/>
    <x v="76"/>
    <d v="2025-03-20T00:00:00"/>
    <x v="2"/>
    <x v="0"/>
    <x v="2"/>
    <x v="0"/>
    <x v="3"/>
    <x v="1"/>
    <x v="11"/>
    <x v="2"/>
  </r>
  <r>
    <x v="2082"/>
    <x v="6"/>
    <x v="0"/>
    <n v="45.8"/>
    <n v="45.8"/>
    <x v="76"/>
    <d v="2025-03-22T00:00:00"/>
    <x v="3"/>
    <x v="0"/>
    <x v="0"/>
    <x v="0"/>
    <x v="3"/>
    <x v="5"/>
    <x v="11"/>
    <x v="3"/>
  </r>
  <r>
    <x v="2083"/>
    <x v="19"/>
    <x v="12"/>
    <n v="12.8"/>
    <n v="51.2"/>
    <x v="76"/>
    <d v="2025-03-25T00:00:00"/>
    <x v="2"/>
    <x v="1"/>
    <x v="1"/>
    <x v="0"/>
    <x v="5"/>
    <x v="6"/>
    <x v="11"/>
    <x v="2"/>
  </r>
  <r>
    <x v="2084"/>
    <x v="5"/>
    <x v="2"/>
    <n v="115.3"/>
    <n v="345.9"/>
    <x v="76"/>
    <d v="2025-03-19T00:00:00"/>
    <x v="2"/>
    <x v="2"/>
    <x v="2"/>
    <x v="0"/>
    <x v="6"/>
    <x v="3"/>
    <x v="11"/>
    <x v="2"/>
  </r>
  <r>
    <x v="2085"/>
    <x v="5"/>
    <x v="1"/>
    <n v="85"/>
    <n v="170"/>
    <x v="76"/>
    <d v="2025-03-20T00:00:00"/>
    <x v="2"/>
    <x v="1"/>
    <x v="0"/>
    <x v="0"/>
    <x v="7"/>
    <x v="1"/>
    <x v="11"/>
    <x v="2"/>
  </r>
  <r>
    <x v="2086"/>
    <x v="8"/>
    <x v="2"/>
    <n v="56.6"/>
    <n v="169.8"/>
    <x v="76"/>
    <d v="2025-03-19T00:00:00"/>
    <x v="2"/>
    <x v="1"/>
    <x v="2"/>
    <x v="0"/>
    <x v="7"/>
    <x v="3"/>
    <x v="11"/>
    <x v="2"/>
  </r>
  <r>
    <x v="2087"/>
    <x v="15"/>
    <x v="6"/>
    <n v="46.3"/>
    <n v="1250.0999999999999"/>
    <x v="76"/>
    <d v="2025-03-21T00:00:00"/>
    <x v="1"/>
    <x v="0"/>
    <x v="0"/>
    <x v="0"/>
    <x v="7"/>
    <x v="2"/>
    <x v="11"/>
    <x v="1"/>
  </r>
  <r>
    <x v="2088"/>
    <x v="14"/>
    <x v="12"/>
    <n v="23"/>
    <n v="92"/>
    <x v="76"/>
    <d v="2025-03-22T00:00:00"/>
    <x v="1"/>
    <x v="3"/>
    <x v="2"/>
    <x v="0"/>
    <x v="7"/>
    <x v="5"/>
    <x v="11"/>
    <x v="1"/>
  </r>
  <r>
    <x v="2089"/>
    <x v="8"/>
    <x v="13"/>
    <n v="42.1"/>
    <n v="252.60000000000002"/>
    <x v="76"/>
    <d v="2025-03-20T00:00:00"/>
    <x v="1"/>
    <x v="4"/>
    <x v="0"/>
    <x v="0"/>
    <x v="8"/>
    <x v="1"/>
    <x v="11"/>
    <x v="1"/>
  </r>
  <r>
    <x v="2090"/>
    <x v="5"/>
    <x v="3"/>
    <n v="57.4"/>
    <n v="401.8"/>
    <x v="76"/>
    <d v="2025-03-22T00:00:00"/>
    <x v="2"/>
    <x v="1"/>
    <x v="4"/>
    <x v="0"/>
    <x v="8"/>
    <x v="5"/>
    <x v="11"/>
    <x v="2"/>
  </r>
  <r>
    <x v="2091"/>
    <x v="0"/>
    <x v="13"/>
    <n v="13.2"/>
    <n v="79.199999999999989"/>
    <x v="76"/>
    <d v="2025-03-22T00:00:00"/>
    <x v="1"/>
    <x v="2"/>
    <x v="0"/>
    <x v="0"/>
    <x v="8"/>
    <x v="5"/>
    <x v="11"/>
    <x v="1"/>
  </r>
  <r>
    <x v="2092"/>
    <x v="6"/>
    <x v="2"/>
    <n v="52.3"/>
    <n v="156.89999999999998"/>
    <x v="76"/>
    <d v="2025-03-19T00:00:00"/>
    <x v="1"/>
    <x v="1"/>
    <x v="0"/>
    <x v="0"/>
    <x v="8"/>
    <x v="3"/>
    <x v="11"/>
    <x v="1"/>
  </r>
  <r>
    <x v="2093"/>
    <x v="8"/>
    <x v="1"/>
    <n v="15.7"/>
    <n v="31.4"/>
    <x v="76"/>
    <d v="2025-03-21T00:00:00"/>
    <x v="1"/>
    <x v="1"/>
    <x v="2"/>
    <x v="0"/>
    <x v="8"/>
    <x v="2"/>
    <x v="11"/>
    <x v="1"/>
  </r>
  <r>
    <x v="2094"/>
    <x v="7"/>
    <x v="2"/>
    <n v="35"/>
    <n v="105"/>
    <x v="76"/>
    <d v="2025-03-21T00:00:00"/>
    <x v="2"/>
    <x v="1"/>
    <x v="2"/>
    <x v="0"/>
    <x v="9"/>
    <x v="2"/>
    <x v="11"/>
    <x v="2"/>
  </r>
  <r>
    <x v="2095"/>
    <x v="4"/>
    <x v="2"/>
    <n v="26.6"/>
    <n v="79.800000000000011"/>
    <x v="76"/>
    <d v="2025-03-18T00:00:00"/>
    <x v="1"/>
    <x v="1"/>
    <x v="2"/>
    <x v="0"/>
    <x v="11"/>
    <x v="7"/>
    <x v="11"/>
    <x v="1"/>
  </r>
  <r>
    <x v="2096"/>
    <x v="4"/>
    <x v="8"/>
    <n v="47.9"/>
    <n v="383.2"/>
    <x v="77"/>
    <d v="2025-03-20T00:00:00"/>
    <x v="2"/>
    <x v="3"/>
    <x v="2"/>
    <x v="0"/>
    <x v="20"/>
    <x v="3"/>
    <x v="11"/>
    <x v="2"/>
  </r>
  <r>
    <x v="2097"/>
    <x v="5"/>
    <x v="0"/>
    <n v="80.099999999999994"/>
    <n v="80.099999999999994"/>
    <x v="77"/>
    <d v="2025-03-20T00:00:00"/>
    <x v="1"/>
    <x v="2"/>
    <x v="0"/>
    <x v="0"/>
    <x v="21"/>
    <x v="3"/>
    <x v="11"/>
    <x v="1"/>
  </r>
  <r>
    <x v="2098"/>
    <x v="6"/>
    <x v="9"/>
    <n v="50.4"/>
    <n v="252"/>
    <x v="77"/>
    <d v="2025-03-20T00:00:00"/>
    <x v="1"/>
    <x v="1"/>
    <x v="2"/>
    <x v="0"/>
    <x v="21"/>
    <x v="3"/>
    <x v="11"/>
    <x v="1"/>
  </r>
  <r>
    <x v="2099"/>
    <x v="10"/>
    <x v="3"/>
    <n v="43.3"/>
    <n v="303.09999999999997"/>
    <x v="77"/>
    <d v="2025-03-20T00:00:00"/>
    <x v="1"/>
    <x v="2"/>
    <x v="0"/>
    <x v="0"/>
    <x v="21"/>
    <x v="3"/>
    <x v="11"/>
    <x v="1"/>
  </r>
  <r>
    <x v="2100"/>
    <x v="10"/>
    <x v="12"/>
    <n v="57.5"/>
    <n v="230"/>
    <x v="77"/>
    <d v="2025-03-20T00:00:00"/>
    <x v="2"/>
    <x v="1"/>
    <x v="2"/>
    <x v="0"/>
    <x v="1"/>
    <x v="3"/>
    <x v="11"/>
    <x v="2"/>
  </r>
  <r>
    <x v="2101"/>
    <x v="9"/>
    <x v="15"/>
    <n v="24.8"/>
    <n v="322.40000000000003"/>
    <x v="77"/>
    <d v="2025-03-20T00:00:00"/>
    <x v="1"/>
    <x v="0"/>
    <x v="0"/>
    <x v="0"/>
    <x v="57"/>
    <x v="3"/>
    <x v="11"/>
    <x v="1"/>
  </r>
  <r>
    <x v="2102"/>
    <x v="2"/>
    <x v="11"/>
    <n v="85.7"/>
    <n v="771.30000000000007"/>
    <x v="77"/>
    <d v="2025-03-20T00:00:00"/>
    <x v="2"/>
    <x v="0"/>
    <x v="0"/>
    <x v="0"/>
    <x v="42"/>
    <x v="3"/>
    <x v="11"/>
    <x v="2"/>
  </r>
  <r>
    <x v="2103"/>
    <x v="7"/>
    <x v="0"/>
    <n v="47.1"/>
    <n v="47.1"/>
    <x v="77"/>
    <d v="2025-03-21T00:00:00"/>
    <x v="2"/>
    <x v="0"/>
    <x v="0"/>
    <x v="0"/>
    <x v="2"/>
    <x v="1"/>
    <x v="11"/>
    <x v="2"/>
  </r>
  <r>
    <x v="2104"/>
    <x v="5"/>
    <x v="7"/>
    <n v="83.2"/>
    <n v="832"/>
    <x v="77"/>
    <d v="2025-03-23T00:00:00"/>
    <x v="2"/>
    <x v="0"/>
    <x v="0"/>
    <x v="0"/>
    <x v="33"/>
    <x v="5"/>
    <x v="11"/>
    <x v="2"/>
  </r>
  <r>
    <x v="2105"/>
    <x v="2"/>
    <x v="2"/>
    <n v="157"/>
    <n v="471"/>
    <x v="77"/>
    <d v="2025-03-21T00:00:00"/>
    <x v="2"/>
    <x v="0"/>
    <x v="2"/>
    <x v="0"/>
    <x v="22"/>
    <x v="1"/>
    <x v="11"/>
    <x v="2"/>
  </r>
  <r>
    <x v="2106"/>
    <x v="16"/>
    <x v="12"/>
    <n v="33.700000000000003"/>
    <n v="134.80000000000001"/>
    <x v="77"/>
    <d v="2025-03-20T00:00:00"/>
    <x v="1"/>
    <x v="2"/>
    <x v="2"/>
    <x v="0"/>
    <x v="22"/>
    <x v="3"/>
    <x v="11"/>
    <x v="1"/>
  </r>
  <r>
    <x v="2107"/>
    <x v="2"/>
    <x v="2"/>
    <n v="60.8"/>
    <n v="182.39999999999998"/>
    <x v="77"/>
    <d v="2025-03-23T00:00:00"/>
    <x v="2"/>
    <x v="1"/>
    <x v="1"/>
    <x v="0"/>
    <x v="3"/>
    <x v="5"/>
    <x v="11"/>
    <x v="2"/>
  </r>
  <r>
    <x v="2108"/>
    <x v="7"/>
    <x v="0"/>
    <n v="57.6"/>
    <n v="57.6"/>
    <x v="77"/>
    <d v="2025-03-20T00:00:00"/>
    <x v="1"/>
    <x v="1"/>
    <x v="4"/>
    <x v="0"/>
    <x v="3"/>
    <x v="3"/>
    <x v="11"/>
    <x v="1"/>
  </r>
  <r>
    <x v="2109"/>
    <x v="10"/>
    <x v="0"/>
    <n v="32"/>
    <n v="32"/>
    <x v="77"/>
    <d v="2025-03-21T00:00:00"/>
    <x v="1"/>
    <x v="0"/>
    <x v="0"/>
    <x v="0"/>
    <x v="3"/>
    <x v="1"/>
    <x v="11"/>
    <x v="1"/>
  </r>
  <r>
    <x v="2110"/>
    <x v="10"/>
    <x v="12"/>
    <n v="23.5"/>
    <n v="94"/>
    <x v="77"/>
    <d v="2025-03-20T00:00:00"/>
    <x v="2"/>
    <x v="0"/>
    <x v="2"/>
    <x v="0"/>
    <x v="3"/>
    <x v="3"/>
    <x v="11"/>
    <x v="2"/>
  </r>
  <r>
    <x v="2111"/>
    <x v="12"/>
    <x v="2"/>
    <n v="44.8"/>
    <n v="134.39999999999998"/>
    <x v="77"/>
    <d v="2025-03-20T00:00:00"/>
    <x v="3"/>
    <x v="4"/>
    <x v="0"/>
    <x v="0"/>
    <x v="3"/>
    <x v="3"/>
    <x v="11"/>
    <x v="3"/>
  </r>
  <r>
    <x v="2112"/>
    <x v="0"/>
    <x v="8"/>
    <n v="11.7"/>
    <n v="93.6"/>
    <x v="77"/>
    <d v="2025-03-20T00:00:00"/>
    <x v="1"/>
    <x v="2"/>
    <x v="2"/>
    <x v="0"/>
    <x v="3"/>
    <x v="3"/>
    <x v="11"/>
    <x v="1"/>
  </r>
  <r>
    <x v="2113"/>
    <x v="7"/>
    <x v="1"/>
    <n v="38.799999999999997"/>
    <n v="77.599999999999994"/>
    <x v="77"/>
    <d v="2025-03-22T00:00:00"/>
    <x v="2"/>
    <x v="2"/>
    <x v="0"/>
    <x v="0"/>
    <x v="3"/>
    <x v="2"/>
    <x v="11"/>
    <x v="2"/>
  </r>
  <r>
    <x v="2114"/>
    <x v="5"/>
    <x v="21"/>
    <n v="86.9"/>
    <n v="1216.6000000000001"/>
    <x v="77"/>
    <d v="2025-03-24T00:00:00"/>
    <x v="2"/>
    <x v="1"/>
    <x v="0"/>
    <x v="0"/>
    <x v="3"/>
    <x v="0"/>
    <x v="11"/>
    <x v="2"/>
  </r>
  <r>
    <x v="2115"/>
    <x v="8"/>
    <x v="0"/>
    <n v="18.3"/>
    <n v="18.3"/>
    <x v="77"/>
    <d v="2025-03-20T00:00:00"/>
    <x v="2"/>
    <x v="0"/>
    <x v="0"/>
    <x v="0"/>
    <x v="3"/>
    <x v="3"/>
    <x v="11"/>
    <x v="2"/>
  </r>
  <r>
    <x v="2116"/>
    <x v="5"/>
    <x v="0"/>
    <n v="47.5"/>
    <n v="47.5"/>
    <x v="77"/>
    <d v="2025-03-23T00:00:00"/>
    <x v="1"/>
    <x v="4"/>
    <x v="2"/>
    <x v="0"/>
    <x v="3"/>
    <x v="5"/>
    <x v="11"/>
    <x v="1"/>
  </r>
  <r>
    <x v="2117"/>
    <x v="1"/>
    <x v="1"/>
    <n v="78.599999999999994"/>
    <n v="157.19999999999999"/>
    <x v="77"/>
    <d v="2025-03-20T00:00:00"/>
    <x v="1"/>
    <x v="2"/>
    <x v="2"/>
    <x v="0"/>
    <x v="3"/>
    <x v="3"/>
    <x v="11"/>
    <x v="1"/>
  </r>
  <r>
    <x v="2118"/>
    <x v="6"/>
    <x v="12"/>
    <n v="87.3"/>
    <n v="349.2"/>
    <x v="77"/>
    <d v="2025-03-20T00:00:00"/>
    <x v="1"/>
    <x v="0"/>
    <x v="0"/>
    <x v="0"/>
    <x v="3"/>
    <x v="3"/>
    <x v="11"/>
    <x v="1"/>
  </r>
  <r>
    <x v="2119"/>
    <x v="9"/>
    <x v="1"/>
    <n v="63.2"/>
    <n v="126.4"/>
    <x v="77"/>
    <d v="2025-03-19T00:00:00"/>
    <x v="1"/>
    <x v="4"/>
    <x v="1"/>
    <x v="0"/>
    <x v="3"/>
    <x v="7"/>
    <x v="11"/>
    <x v="1"/>
  </r>
  <r>
    <x v="2120"/>
    <x v="5"/>
    <x v="9"/>
    <n v="33.700000000000003"/>
    <n v="168.5"/>
    <x v="77"/>
    <d v="2025-03-20T00:00:00"/>
    <x v="2"/>
    <x v="0"/>
    <x v="0"/>
    <x v="0"/>
    <x v="3"/>
    <x v="3"/>
    <x v="11"/>
    <x v="2"/>
  </r>
  <r>
    <x v="2121"/>
    <x v="2"/>
    <x v="2"/>
    <n v="107.4"/>
    <n v="322.20000000000005"/>
    <x v="77"/>
    <d v="2025-04-01T00:00:00"/>
    <x v="2"/>
    <x v="1"/>
    <x v="2"/>
    <x v="0"/>
    <x v="3"/>
    <x v="10"/>
    <x v="11"/>
    <x v="2"/>
  </r>
  <r>
    <x v="2122"/>
    <x v="4"/>
    <x v="12"/>
    <n v="22.2"/>
    <n v="88.8"/>
    <x v="77"/>
    <d v="2025-03-20T00:00:00"/>
    <x v="0"/>
    <x v="1"/>
    <x v="2"/>
    <x v="0"/>
    <x v="24"/>
    <x v="3"/>
    <x v="11"/>
    <x v="0"/>
  </r>
  <r>
    <x v="2123"/>
    <x v="18"/>
    <x v="2"/>
    <n v="52.8"/>
    <n v="158.39999999999998"/>
    <x v="77"/>
    <d v="2025-03-20T00:00:00"/>
    <x v="1"/>
    <x v="3"/>
    <x v="2"/>
    <x v="0"/>
    <x v="24"/>
    <x v="3"/>
    <x v="11"/>
    <x v="1"/>
  </r>
  <r>
    <x v="2124"/>
    <x v="8"/>
    <x v="2"/>
    <n v="41.5"/>
    <n v="124.5"/>
    <x v="77"/>
    <d v="2025-03-22T00:00:00"/>
    <x v="2"/>
    <x v="0"/>
    <x v="0"/>
    <x v="0"/>
    <x v="25"/>
    <x v="2"/>
    <x v="11"/>
    <x v="2"/>
  </r>
  <r>
    <x v="2125"/>
    <x v="12"/>
    <x v="8"/>
    <n v="103.5"/>
    <n v="828"/>
    <x v="77"/>
    <d v="2025-03-22T00:00:00"/>
    <x v="2"/>
    <x v="0"/>
    <x v="2"/>
    <x v="0"/>
    <x v="23"/>
    <x v="2"/>
    <x v="11"/>
    <x v="2"/>
  </r>
  <r>
    <x v="2126"/>
    <x v="4"/>
    <x v="21"/>
    <n v="37.5"/>
    <n v="525"/>
    <x v="77"/>
    <d v="2025-03-19T00:00:00"/>
    <x v="2"/>
    <x v="1"/>
    <x v="2"/>
    <x v="0"/>
    <x v="6"/>
    <x v="7"/>
    <x v="11"/>
    <x v="2"/>
  </r>
  <r>
    <x v="2127"/>
    <x v="15"/>
    <x v="8"/>
    <n v="44.4"/>
    <n v="355.2"/>
    <x v="77"/>
    <d v="2025-03-25T00:00:00"/>
    <x v="2"/>
    <x v="3"/>
    <x v="2"/>
    <x v="0"/>
    <x v="7"/>
    <x v="4"/>
    <x v="11"/>
    <x v="2"/>
  </r>
  <r>
    <x v="2128"/>
    <x v="8"/>
    <x v="2"/>
    <n v="26.2"/>
    <n v="78.599999999999994"/>
    <x v="77"/>
    <d v="2025-03-20T00:00:00"/>
    <x v="1"/>
    <x v="0"/>
    <x v="0"/>
    <x v="0"/>
    <x v="8"/>
    <x v="3"/>
    <x v="11"/>
    <x v="1"/>
  </r>
  <r>
    <x v="2129"/>
    <x v="1"/>
    <x v="3"/>
    <n v="32.200000000000003"/>
    <n v="225.40000000000003"/>
    <x v="77"/>
    <d v="2025-03-20T00:00:00"/>
    <x v="2"/>
    <x v="1"/>
    <x v="2"/>
    <x v="0"/>
    <x v="8"/>
    <x v="3"/>
    <x v="11"/>
    <x v="2"/>
  </r>
  <r>
    <x v="2130"/>
    <x v="8"/>
    <x v="0"/>
    <n v="17.399999999999999"/>
    <n v="17.399999999999999"/>
    <x v="77"/>
    <d v="2025-03-23T00:00:00"/>
    <x v="0"/>
    <x v="2"/>
    <x v="1"/>
    <x v="0"/>
    <x v="8"/>
    <x v="5"/>
    <x v="11"/>
    <x v="0"/>
  </r>
  <r>
    <x v="2131"/>
    <x v="8"/>
    <x v="13"/>
    <n v="72.3"/>
    <n v="433.79999999999995"/>
    <x v="77"/>
    <d v="2025-03-22T00:00:00"/>
    <x v="2"/>
    <x v="0"/>
    <x v="0"/>
    <x v="0"/>
    <x v="8"/>
    <x v="2"/>
    <x v="11"/>
    <x v="2"/>
  </r>
  <r>
    <x v="2132"/>
    <x v="8"/>
    <x v="5"/>
    <n v="24.3"/>
    <n v="267.3"/>
    <x v="77"/>
    <d v="2025-03-20T00:00:00"/>
    <x v="1"/>
    <x v="0"/>
    <x v="0"/>
    <x v="0"/>
    <x v="8"/>
    <x v="3"/>
    <x v="11"/>
    <x v="1"/>
  </r>
  <r>
    <x v="2133"/>
    <x v="13"/>
    <x v="2"/>
    <n v="49.1"/>
    <n v="147.30000000000001"/>
    <x v="77"/>
    <d v="2025-03-25T00:00:00"/>
    <x v="1"/>
    <x v="2"/>
    <x v="4"/>
    <x v="0"/>
    <x v="8"/>
    <x v="4"/>
    <x v="11"/>
    <x v="1"/>
  </r>
  <r>
    <x v="2134"/>
    <x v="2"/>
    <x v="7"/>
    <n v="234.7"/>
    <n v="2347"/>
    <x v="77"/>
    <d v="2025-03-20T00:00:00"/>
    <x v="1"/>
    <x v="3"/>
    <x v="1"/>
    <x v="0"/>
    <x v="8"/>
    <x v="3"/>
    <x v="11"/>
    <x v="1"/>
  </r>
  <r>
    <x v="2135"/>
    <x v="3"/>
    <x v="9"/>
    <n v="76.099999999999994"/>
    <n v="380.5"/>
    <x v="77"/>
    <d v="2025-03-21T00:00:00"/>
    <x v="1"/>
    <x v="1"/>
    <x v="1"/>
    <x v="0"/>
    <x v="17"/>
    <x v="1"/>
    <x v="11"/>
    <x v="1"/>
  </r>
  <r>
    <x v="2136"/>
    <x v="1"/>
    <x v="2"/>
    <n v="93.9"/>
    <n v="281.70000000000005"/>
    <x v="77"/>
    <d v="2025-03-20T00:00:00"/>
    <x v="1"/>
    <x v="1"/>
    <x v="4"/>
    <x v="0"/>
    <x v="11"/>
    <x v="3"/>
    <x v="11"/>
    <x v="1"/>
  </r>
  <r>
    <x v="2137"/>
    <x v="2"/>
    <x v="12"/>
    <n v="187"/>
    <n v="748"/>
    <x v="78"/>
    <d v="2025-03-23T00:00:00"/>
    <x v="1"/>
    <x v="0"/>
    <x v="0"/>
    <x v="0"/>
    <x v="11"/>
    <x v="2"/>
    <x v="11"/>
    <x v="1"/>
  </r>
  <r>
    <x v="2138"/>
    <x v="8"/>
    <x v="1"/>
    <n v="18"/>
    <n v="36"/>
    <x v="78"/>
    <d v="2025-03-21T00:00:00"/>
    <x v="2"/>
    <x v="1"/>
    <x v="2"/>
    <x v="0"/>
    <x v="53"/>
    <x v="3"/>
    <x v="11"/>
    <x v="2"/>
  </r>
  <r>
    <x v="2139"/>
    <x v="4"/>
    <x v="0"/>
    <n v="24.4"/>
    <n v="24.4"/>
    <x v="78"/>
    <d v="2025-03-21T00:00:00"/>
    <x v="2"/>
    <x v="4"/>
    <x v="2"/>
    <x v="0"/>
    <x v="21"/>
    <x v="3"/>
    <x v="11"/>
    <x v="2"/>
  </r>
  <r>
    <x v="2140"/>
    <x v="10"/>
    <x v="1"/>
    <n v="38.799999999999997"/>
    <n v="77.599999999999994"/>
    <x v="78"/>
    <d v="2025-03-21T00:00:00"/>
    <x v="1"/>
    <x v="4"/>
    <x v="1"/>
    <x v="0"/>
    <x v="3"/>
    <x v="3"/>
    <x v="11"/>
    <x v="1"/>
  </r>
  <r>
    <x v="2141"/>
    <x v="3"/>
    <x v="0"/>
    <n v="59.7"/>
    <n v="59.7"/>
    <x v="78"/>
    <d v="2025-03-23T00:00:00"/>
    <x v="1"/>
    <x v="3"/>
    <x v="0"/>
    <x v="0"/>
    <x v="3"/>
    <x v="2"/>
    <x v="11"/>
    <x v="1"/>
  </r>
  <r>
    <x v="2142"/>
    <x v="7"/>
    <x v="0"/>
    <n v="31.2"/>
    <n v="31.2"/>
    <x v="78"/>
    <d v="2025-03-21T00:00:00"/>
    <x v="1"/>
    <x v="1"/>
    <x v="2"/>
    <x v="0"/>
    <x v="3"/>
    <x v="3"/>
    <x v="11"/>
    <x v="1"/>
  </r>
  <r>
    <x v="2143"/>
    <x v="0"/>
    <x v="0"/>
    <n v="16.8"/>
    <n v="16.8"/>
    <x v="78"/>
    <d v="2025-03-21T00:00:00"/>
    <x v="2"/>
    <x v="2"/>
    <x v="1"/>
    <x v="0"/>
    <x v="3"/>
    <x v="3"/>
    <x v="11"/>
    <x v="2"/>
  </r>
  <r>
    <x v="2144"/>
    <x v="8"/>
    <x v="0"/>
    <n v="46"/>
    <n v="46"/>
    <x v="78"/>
    <d v="2025-03-21T00:00:00"/>
    <x v="1"/>
    <x v="0"/>
    <x v="0"/>
    <x v="0"/>
    <x v="3"/>
    <x v="3"/>
    <x v="11"/>
    <x v="1"/>
  </r>
  <r>
    <x v="2145"/>
    <x v="9"/>
    <x v="8"/>
    <n v="42.2"/>
    <n v="337.6"/>
    <x v="78"/>
    <d v="2025-03-23T00:00:00"/>
    <x v="2"/>
    <x v="3"/>
    <x v="2"/>
    <x v="0"/>
    <x v="3"/>
    <x v="2"/>
    <x v="11"/>
    <x v="2"/>
  </r>
  <r>
    <x v="2146"/>
    <x v="1"/>
    <x v="2"/>
    <n v="71.5"/>
    <n v="214.5"/>
    <x v="78"/>
    <d v="2025-04-03T00:00:00"/>
    <x v="2"/>
    <x v="0"/>
    <x v="0"/>
    <x v="0"/>
    <x v="3"/>
    <x v="12"/>
    <x v="11"/>
    <x v="2"/>
  </r>
  <r>
    <x v="2147"/>
    <x v="1"/>
    <x v="1"/>
    <n v="76.599999999999994"/>
    <n v="153.19999999999999"/>
    <x v="78"/>
    <d v="2025-03-20T00:00:00"/>
    <x v="1"/>
    <x v="0"/>
    <x v="2"/>
    <x v="0"/>
    <x v="3"/>
    <x v="7"/>
    <x v="11"/>
    <x v="1"/>
  </r>
  <r>
    <x v="2148"/>
    <x v="12"/>
    <x v="1"/>
    <n v="87.3"/>
    <n v="174.6"/>
    <x v="78"/>
    <d v="2025-03-28T00:00:00"/>
    <x v="2"/>
    <x v="3"/>
    <x v="2"/>
    <x v="0"/>
    <x v="3"/>
    <x v="9"/>
    <x v="11"/>
    <x v="2"/>
  </r>
  <r>
    <x v="2149"/>
    <x v="1"/>
    <x v="0"/>
    <n v="63"/>
    <n v="63"/>
    <x v="78"/>
    <d v="2025-03-23T00:00:00"/>
    <x v="1"/>
    <x v="3"/>
    <x v="0"/>
    <x v="0"/>
    <x v="3"/>
    <x v="2"/>
    <x v="11"/>
    <x v="1"/>
  </r>
  <r>
    <x v="2150"/>
    <x v="8"/>
    <x v="1"/>
    <n v="41.7"/>
    <n v="83.4"/>
    <x v="78"/>
    <d v="2025-03-21T00:00:00"/>
    <x v="2"/>
    <x v="4"/>
    <x v="1"/>
    <x v="0"/>
    <x v="43"/>
    <x v="3"/>
    <x v="11"/>
    <x v="2"/>
  </r>
  <r>
    <x v="2151"/>
    <x v="6"/>
    <x v="1"/>
    <n v="76.099999999999994"/>
    <n v="152.19999999999999"/>
    <x v="78"/>
    <d v="2025-03-20T00:00:00"/>
    <x v="2"/>
    <x v="4"/>
    <x v="2"/>
    <x v="0"/>
    <x v="16"/>
    <x v="7"/>
    <x v="11"/>
    <x v="2"/>
  </r>
  <r>
    <x v="2152"/>
    <x v="13"/>
    <x v="1"/>
    <n v="28.5"/>
    <n v="57"/>
    <x v="78"/>
    <d v="2025-03-21T00:00:00"/>
    <x v="2"/>
    <x v="0"/>
    <x v="2"/>
    <x v="0"/>
    <x v="4"/>
    <x v="3"/>
    <x v="11"/>
    <x v="2"/>
  </r>
  <r>
    <x v="2153"/>
    <x v="0"/>
    <x v="12"/>
    <n v="32.1"/>
    <n v="128.4"/>
    <x v="78"/>
    <d v="2025-03-21T00:00:00"/>
    <x v="2"/>
    <x v="1"/>
    <x v="2"/>
    <x v="0"/>
    <x v="25"/>
    <x v="3"/>
    <x v="11"/>
    <x v="2"/>
  </r>
  <r>
    <x v="2154"/>
    <x v="4"/>
    <x v="2"/>
    <n v="39"/>
    <n v="117"/>
    <x v="78"/>
    <d v="2025-03-23T00:00:00"/>
    <x v="1"/>
    <x v="1"/>
    <x v="2"/>
    <x v="0"/>
    <x v="25"/>
    <x v="2"/>
    <x v="11"/>
    <x v="1"/>
  </r>
  <r>
    <x v="2155"/>
    <x v="6"/>
    <x v="0"/>
    <n v="78.5"/>
    <n v="78.5"/>
    <x v="78"/>
    <d v="2025-03-21T00:00:00"/>
    <x v="1"/>
    <x v="1"/>
    <x v="0"/>
    <x v="0"/>
    <x v="6"/>
    <x v="3"/>
    <x v="11"/>
    <x v="1"/>
  </r>
  <r>
    <x v="2156"/>
    <x v="4"/>
    <x v="9"/>
    <n v="49.7"/>
    <n v="248.5"/>
    <x v="78"/>
    <d v="2025-03-22T00:00:00"/>
    <x v="2"/>
    <x v="0"/>
    <x v="0"/>
    <x v="0"/>
    <x v="6"/>
    <x v="1"/>
    <x v="11"/>
    <x v="2"/>
  </r>
  <r>
    <x v="2157"/>
    <x v="1"/>
    <x v="12"/>
    <n v="68.400000000000006"/>
    <n v="273.60000000000002"/>
    <x v="78"/>
    <d v="2025-03-21T00:00:00"/>
    <x v="2"/>
    <x v="2"/>
    <x v="2"/>
    <x v="0"/>
    <x v="7"/>
    <x v="3"/>
    <x v="11"/>
    <x v="2"/>
  </r>
  <r>
    <x v="2158"/>
    <x v="3"/>
    <x v="1"/>
    <n v="72.900000000000006"/>
    <n v="145.80000000000001"/>
    <x v="78"/>
    <d v="2025-03-23T00:00:00"/>
    <x v="0"/>
    <x v="0"/>
    <x v="2"/>
    <x v="0"/>
    <x v="7"/>
    <x v="2"/>
    <x v="11"/>
    <x v="0"/>
  </r>
  <r>
    <x v="2159"/>
    <x v="5"/>
    <x v="15"/>
    <n v="30.3"/>
    <n v="393.90000000000003"/>
    <x v="78"/>
    <d v="2025-03-21T00:00:00"/>
    <x v="1"/>
    <x v="4"/>
    <x v="0"/>
    <x v="0"/>
    <x v="7"/>
    <x v="3"/>
    <x v="11"/>
    <x v="1"/>
  </r>
  <r>
    <x v="2160"/>
    <x v="6"/>
    <x v="5"/>
    <n v="57.9"/>
    <n v="636.9"/>
    <x v="78"/>
    <d v="2025-03-21T00:00:00"/>
    <x v="2"/>
    <x v="0"/>
    <x v="0"/>
    <x v="0"/>
    <x v="8"/>
    <x v="3"/>
    <x v="11"/>
    <x v="2"/>
  </r>
  <r>
    <x v="2161"/>
    <x v="1"/>
    <x v="0"/>
    <n v="96.7"/>
    <n v="96.7"/>
    <x v="78"/>
    <d v="2025-03-21T00:00:00"/>
    <x v="1"/>
    <x v="0"/>
    <x v="0"/>
    <x v="0"/>
    <x v="8"/>
    <x v="3"/>
    <x v="11"/>
    <x v="1"/>
  </r>
  <r>
    <x v="2162"/>
    <x v="8"/>
    <x v="4"/>
    <n v="27.6"/>
    <n v="331.20000000000005"/>
    <x v="78"/>
    <d v="2025-03-22T00:00:00"/>
    <x v="1"/>
    <x v="2"/>
    <x v="2"/>
    <x v="0"/>
    <x v="8"/>
    <x v="1"/>
    <x v="11"/>
    <x v="1"/>
  </r>
  <r>
    <x v="2163"/>
    <x v="6"/>
    <x v="12"/>
    <n v="64.7"/>
    <n v="258.8"/>
    <x v="78"/>
    <d v="2025-03-20T00:00:00"/>
    <x v="1"/>
    <x v="3"/>
    <x v="2"/>
    <x v="0"/>
    <x v="8"/>
    <x v="7"/>
    <x v="11"/>
    <x v="1"/>
  </r>
  <r>
    <x v="2164"/>
    <x v="10"/>
    <x v="13"/>
    <n v="30.5"/>
    <n v="183"/>
    <x v="78"/>
    <d v="2025-03-21T00:00:00"/>
    <x v="1"/>
    <x v="4"/>
    <x v="0"/>
    <x v="0"/>
    <x v="8"/>
    <x v="3"/>
    <x v="11"/>
    <x v="1"/>
  </r>
  <r>
    <x v="2165"/>
    <x v="6"/>
    <x v="47"/>
    <n v="106"/>
    <n v="7420"/>
    <x v="79"/>
    <d v="2025-03-23T00:00:00"/>
    <x v="1"/>
    <x v="4"/>
    <x v="2"/>
    <x v="0"/>
    <x v="8"/>
    <x v="1"/>
    <x v="11"/>
    <x v="1"/>
  </r>
  <r>
    <x v="2166"/>
    <x v="12"/>
    <x v="9"/>
    <n v="76.8"/>
    <n v="384"/>
    <x v="79"/>
    <d v="2025-03-27T00:00:00"/>
    <x v="0"/>
    <x v="1"/>
    <x v="1"/>
    <x v="0"/>
    <x v="18"/>
    <x v="4"/>
    <x v="11"/>
    <x v="0"/>
  </r>
  <r>
    <x v="2167"/>
    <x v="6"/>
    <x v="1"/>
    <n v="80.400000000000006"/>
    <n v="160.80000000000001"/>
    <x v="79"/>
    <d v="2025-03-22T00:00:00"/>
    <x v="2"/>
    <x v="2"/>
    <x v="0"/>
    <x v="0"/>
    <x v="13"/>
    <x v="3"/>
    <x v="11"/>
    <x v="2"/>
  </r>
  <r>
    <x v="2168"/>
    <x v="6"/>
    <x v="12"/>
    <n v="69.099999999999994"/>
    <n v="276.39999999999998"/>
    <x v="79"/>
    <d v="2025-03-22T00:00:00"/>
    <x v="1"/>
    <x v="1"/>
    <x v="2"/>
    <x v="0"/>
    <x v="21"/>
    <x v="3"/>
    <x v="11"/>
    <x v="1"/>
  </r>
  <r>
    <x v="2169"/>
    <x v="18"/>
    <x v="1"/>
    <n v="76.400000000000006"/>
    <n v="152.80000000000001"/>
    <x v="79"/>
    <d v="2025-03-21T00:00:00"/>
    <x v="1"/>
    <x v="3"/>
    <x v="0"/>
    <x v="0"/>
    <x v="21"/>
    <x v="7"/>
    <x v="11"/>
    <x v="1"/>
  </r>
  <r>
    <x v="2170"/>
    <x v="2"/>
    <x v="1"/>
    <n v="61.3"/>
    <n v="122.6"/>
    <x v="79"/>
    <d v="2025-03-22T00:00:00"/>
    <x v="2"/>
    <x v="1"/>
    <x v="1"/>
    <x v="0"/>
    <x v="21"/>
    <x v="3"/>
    <x v="11"/>
    <x v="2"/>
  </r>
  <r>
    <x v="2171"/>
    <x v="7"/>
    <x v="0"/>
    <n v="58"/>
    <n v="58"/>
    <x v="79"/>
    <d v="2025-03-22T00:00:00"/>
    <x v="1"/>
    <x v="3"/>
    <x v="1"/>
    <x v="0"/>
    <x v="1"/>
    <x v="3"/>
    <x v="11"/>
    <x v="1"/>
  </r>
  <r>
    <x v="2172"/>
    <x v="2"/>
    <x v="8"/>
    <n v="102.3"/>
    <n v="818.4"/>
    <x v="79"/>
    <d v="2025-03-23T00:00:00"/>
    <x v="1"/>
    <x v="2"/>
    <x v="0"/>
    <x v="0"/>
    <x v="42"/>
    <x v="1"/>
    <x v="11"/>
    <x v="1"/>
  </r>
  <r>
    <x v="2173"/>
    <x v="19"/>
    <x v="1"/>
    <n v="13.8"/>
    <n v="27.6"/>
    <x v="79"/>
    <d v="2025-03-22T00:00:00"/>
    <x v="2"/>
    <x v="4"/>
    <x v="2"/>
    <x v="0"/>
    <x v="2"/>
    <x v="3"/>
    <x v="11"/>
    <x v="2"/>
  </r>
  <r>
    <x v="2174"/>
    <x v="8"/>
    <x v="2"/>
    <n v="33.299999999999997"/>
    <n v="99.899999999999991"/>
    <x v="79"/>
    <d v="2025-03-24T00:00:00"/>
    <x v="2"/>
    <x v="2"/>
    <x v="0"/>
    <x v="0"/>
    <x v="22"/>
    <x v="2"/>
    <x v="11"/>
    <x v="2"/>
  </r>
  <r>
    <x v="2175"/>
    <x v="10"/>
    <x v="0"/>
    <n v="27.4"/>
    <n v="27.4"/>
    <x v="79"/>
    <d v="2025-03-24T00:00:00"/>
    <x v="1"/>
    <x v="0"/>
    <x v="2"/>
    <x v="0"/>
    <x v="22"/>
    <x v="2"/>
    <x v="11"/>
    <x v="1"/>
  </r>
  <r>
    <x v="2176"/>
    <x v="14"/>
    <x v="1"/>
    <n v="25.6"/>
    <n v="51.2"/>
    <x v="79"/>
    <d v="2025-03-22T00:00:00"/>
    <x v="2"/>
    <x v="1"/>
    <x v="1"/>
    <x v="0"/>
    <x v="3"/>
    <x v="3"/>
    <x v="11"/>
    <x v="2"/>
  </r>
  <r>
    <x v="2177"/>
    <x v="13"/>
    <x v="0"/>
    <n v="58.4"/>
    <n v="58.4"/>
    <x v="79"/>
    <d v="2025-03-22T00:00:00"/>
    <x v="2"/>
    <x v="2"/>
    <x v="2"/>
    <x v="0"/>
    <x v="3"/>
    <x v="3"/>
    <x v="11"/>
    <x v="2"/>
  </r>
  <r>
    <x v="2178"/>
    <x v="11"/>
    <x v="17"/>
    <n v="27"/>
    <n v="810"/>
    <x v="79"/>
    <d v="2025-03-22T00:00:00"/>
    <x v="2"/>
    <x v="4"/>
    <x v="0"/>
    <x v="0"/>
    <x v="3"/>
    <x v="3"/>
    <x v="11"/>
    <x v="2"/>
  </r>
  <r>
    <x v="2179"/>
    <x v="0"/>
    <x v="12"/>
    <n v="14.2"/>
    <n v="56.8"/>
    <x v="79"/>
    <d v="2025-03-22T00:00:00"/>
    <x v="1"/>
    <x v="0"/>
    <x v="2"/>
    <x v="0"/>
    <x v="3"/>
    <x v="3"/>
    <x v="11"/>
    <x v="1"/>
  </r>
  <r>
    <x v="2180"/>
    <x v="7"/>
    <x v="1"/>
    <n v="68"/>
    <n v="136"/>
    <x v="79"/>
    <d v="2025-03-31T00:00:00"/>
    <x v="1"/>
    <x v="2"/>
    <x v="1"/>
    <x v="0"/>
    <x v="3"/>
    <x v="14"/>
    <x v="11"/>
    <x v="1"/>
  </r>
  <r>
    <x v="2181"/>
    <x v="8"/>
    <x v="0"/>
    <n v="30.7"/>
    <n v="30.7"/>
    <x v="79"/>
    <d v="2025-03-22T00:00:00"/>
    <x v="1"/>
    <x v="0"/>
    <x v="0"/>
    <x v="0"/>
    <x v="3"/>
    <x v="3"/>
    <x v="11"/>
    <x v="1"/>
  </r>
  <r>
    <x v="2182"/>
    <x v="17"/>
    <x v="15"/>
    <n v="51.6"/>
    <n v="670.80000000000007"/>
    <x v="79"/>
    <d v="2025-03-24T00:00:00"/>
    <x v="3"/>
    <x v="1"/>
    <x v="2"/>
    <x v="0"/>
    <x v="3"/>
    <x v="2"/>
    <x v="11"/>
    <x v="3"/>
  </r>
  <r>
    <x v="2183"/>
    <x v="8"/>
    <x v="2"/>
    <n v="20.6"/>
    <n v="61.800000000000004"/>
    <x v="79"/>
    <d v="2025-03-25T00:00:00"/>
    <x v="2"/>
    <x v="4"/>
    <x v="2"/>
    <x v="0"/>
    <x v="3"/>
    <x v="5"/>
    <x v="11"/>
    <x v="2"/>
  </r>
  <r>
    <x v="2184"/>
    <x v="8"/>
    <x v="0"/>
    <n v="24.8"/>
    <n v="24.8"/>
    <x v="79"/>
    <d v="2025-03-22T00:00:00"/>
    <x v="1"/>
    <x v="4"/>
    <x v="0"/>
    <x v="0"/>
    <x v="3"/>
    <x v="3"/>
    <x v="11"/>
    <x v="1"/>
  </r>
  <r>
    <x v="2185"/>
    <x v="0"/>
    <x v="3"/>
    <n v="11.2"/>
    <n v="78.399999999999991"/>
    <x v="79"/>
    <d v="2025-03-24T00:00:00"/>
    <x v="1"/>
    <x v="1"/>
    <x v="0"/>
    <x v="0"/>
    <x v="3"/>
    <x v="2"/>
    <x v="11"/>
    <x v="1"/>
  </r>
  <r>
    <x v="2186"/>
    <x v="11"/>
    <x v="1"/>
    <n v="51.2"/>
    <n v="102.4"/>
    <x v="79"/>
    <d v="2025-03-22T00:00:00"/>
    <x v="2"/>
    <x v="1"/>
    <x v="2"/>
    <x v="0"/>
    <x v="3"/>
    <x v="3"/>
    <x v="11"/>
    <x v="2"/>
  </r>
  <r>
    <x v="2187"/>
    <x v="7"/>
    <x v="13"/>
    <n v="90.5"/>
    <n v="543"/>
    <x v="79"/>
    <d v="2025-03-22T00:00:00"/>
    <x v="2"/>
    <x v="1"/>
    <x v="4"/>
    <x v="0"/>
    <x v="3"/>
    <x v="3"/>
    <x v="11"/>
    <x v="2"/>
  </r>
  <r>
    <x v="2188"/>
    <x v="1"/>
    <x v="1"/>
    <n v="42.4"/>
    <n v="84.8"/>
    <x v="79"/>
    <d v="2025-03-22T00:00:00"/>
    <x v="1"/>
    <x v="1"/>
    <x v="2"/>
    <x v="0"/>
    <x v="4"/>
    <x v="3"/>
    <x v="11"/>
    <x v="1"/>
  </r>
  <r>
    <x v="2189"/>
    <x v="1"/>
    <x v="1"/>
    <n v="38.200000000000003"/>
    <n v="76.400000000000006"/>
    <x v="79"/>
    <d v="2025-03-22T00:00:00"/>
    <x v="1"/>
    <x v="0"/>
    <x v="0"/>
    <x v="0"/>
    <x v="5"/>
    <x v="3"/>
    <x v="11"/>
    <x v="1"/>
  </r>
  <r>
    <x v="2190"/>
    <x v="2"/>
    <x v="11"/>
    <n v="121.3"/>
    <n v="1091.7"/>
    <x v="79"/>
    <d v="2025-03-26T00:00:00"/>
    <x v="1"/>
    <x v="0"/>
    <x v="0"/>
    <x v="0"/>
    <x v="6"/>
    <x v="0"/>
    <x v="11"/>
    <x v="1"/>
  </r>
  <r>
    <x v="2191"/>
    <x v="6"/>
    <x v="1"/>
    <n v="46.9"/>
    <n v="93.8"/>
    <x v="79"/>
    <d v="2025-03-28T00:00:00"/>
    <x v="1"/>
    <x v="0"/>
    <x v="0"/>
    <x v="0"/>
    <x v="8"/>
    <x v="6"/>
    <x v="11"/>
    <x v="1"/>
  </r>
  <r>
    <x v="2192"/>
    <x v="10"/>
    <x v="0"/>
    <n v="55.3"/>
    <n v="55.3"/>
    <x v="79"/>
    <d v="2025-03-23T00:00:00"/>
    <x v="1"/>
    <x v="0"/>
    <x v="0"/>
    <x v="0"/>
    <x v="8"/>
    <x v="1"/>
    <x v="11"/>
    <x v="1"/>
  </r>
  <r>
    <x v="2193"/>
    <x v="2"/>
    <x v="2"/>
    <n v="70.599999999999994"/>
    <n v="211.79999999999998"/>
    <x v="80"/>
    <d v="2025-03-22T00:00:00"/>
    <x v="2"/>
    <x v="0"/>
    <x v="1"/>
    <x v="0"/>
    <x v="8"/>
    <x v="7"/>
    <x v="11"/>
    <x v="2"/>
  </r>
  <r>
    <x v="2194"/>
    <x v="14"/>
    <x v="12"/>
    <n v="26.1"/>
    <n v="104.4"/>
    <x v="80"/>
    <d v="2025-03-24T00:00:00"/>
    <x v="1"/>
    <x v="0"/>
    <x v="0"/>
    <x v="0"/>
    <x v="8"/>
    <x v="1"/>
    <x v="11"/>
    <x v="1"/>
  </r>
  <r>
    <x v="2195"/>
    <x v="9"/>
    <x v="5"/>
    <n v="34.5"/>
    <n v="379.5"/>
    <x v="80"/>
    <d v="2025-03-26T00:00:00"/>
    <x v="1"/>
    <x v="2"/>
    <x v="0"/>
    <x v="0"/>
    <x v="17"/>
    <x v="5"/>
    <x v="11"/>
    <x v="1"/>
  </r>
  <r>
    <x v="2196"/>
    <x v="1"/>
    <x v="1"/>
    <n v="64.2"/>
    <n v="128.4"/>
    <x v="80"/>
    <d v="2025-03-23T00:00:00"/>
    <x v="2"/>
    <x v="0"/>
    <x v="1"/>
    <x v="0"/>
    <x v="17"/>
    <x v="3"/>
    <x v="11"/>
    <x v="2"/>
  </r>
  <r>
    <x v="2197"/>
    <x v="2"/>
    <x v="12"/>
    <n v="145.69999999999999"/>
    <n v="582.79999999999995"/>
    <x v="80"/>
    <d v="2025-03-23T00:00:00"/>
    <x v="2"/>
    <x v="0"/>
    <x v="4"/>
    <x v="0"/>
    <x v="17"/>
    <x v="3"/>
    <x v="11"/>
    <x v="2"/>
  </r>
  <r>
    <x v="2198"/>
    <x v="12"/>
    <x v="1"/>
    <n v="78.5"/>
    <n v="157"/>
    <x v="80"/>
    <d v="2025-03-23T00:00:00"/>
    <x v="1"/>
    <x v="2"/>
    <x v="0"/>
    <x v="0"/>
    <x v="26"/>
    <x v="3"/>
    <x v="11"/>
    <x v="1"/>
  </r>
  <r>
    <x v="2199"/>
    <x v="1"/>
    <x v="0"/>
    <n v="34.200000000000003"/>
    <n v="34.200000000000003"/>
    <x v="80"/>
    <d v="2025-03-24T00:00:00"/>
    <x v="1"/>
    <x v="0"/>
    <x v="0"/>
    <x v="0"/>
    <x v="9"/>
    <x v="1"/>
    <x v="11"/>
    <x v="1"/>
  </r>
  <r>
    <x v="2200"/>
    <x v="19"/>
    <x v="0"/>
    <n v="26.2"/>
    <n v="26.2"/>
    <x v="80"/>
    <d v="2025-03-23T00:00:00"/>
    <x v="1"/>
    <x v="2"/>
    <x v="0"/>
    <x v="0"/>
    <x v="9"/>
    <x v="3"/>
    <x v="11"/>
    <x v="1"/>
  </r>
  <r>
    <x v="2201"/>
    <x v="6"/>
    <x v="12"/>
    <n v="53.2"/>
    <n v="212.8"/>
    <x v="80"/>
    <d v="2025-03-23T00:00:00"/>
    <x v="1"/>
    <x v="1"/>
    <x v="1"/>
    <x v="0"/>
    <x v="11"/>
    <x v="3"/>
    <x v="11"/>
    <x v="1"/>
  </r>
  <r>
    <x v="2202"/>
    <x v="1"/>
    <x v="0"/>
    <n v="35.4"/>
    <n v="35.4"/>
    <x v="80"/>
    <d v="2025-03-26T00:00:00"/>
    <x v="1"/>
    <x v="1"/>
    <x v="4"/>
    <x v="0"/>
    <x v="18"/>
    <x v="5"/>
    <x v="11"/>
    <x v="1"/>
  </r>
  <r>
    <x v="2203"/>
    <x v="14"/>
    <x v="1"/>
    <n v="21.3"/>
    <n v="42.6"/>
    <x v="80"/>
    <d v="2025-03-23T00:00:00"/>
    <x v="1"/>
    <x v="2"/>
    <x v="0"/>
    <x v="0"/>
    <x v="20"/>
    <x v="3"/>
    <x v="11"/>
    <x v="1"/>
  </r>
  <r>
    <x v="2204"/>
    <x v="8"/>
    <x v="12"/>
    <n v="32.9"/>
    <n v="131.6"/>
    <x v="80"/>
    <d v="2025-03-25T00:00:00"/>
    <x v="2"/>
    <x v="4"/>
    <x v="2"/>
    <x v="0"/>
    <x v="21"/>
    <x v="2"/>
    <x v="11"/>
    <x v="2"/>
  </r>
  <r>
    <x v="2205"/>
    <x v="5"/>
    <x v="20"/>
    <n v="85.5"/>
    <n v="1282.5"/>
    <x v="80"/>
    <d v="2025-03-24T00:00:00"/>
    <x v="2"/>
    <x v="3"/>
    <x v="1"/>
    <x v="0"/>
    <x v="21"/>
    <x v="1"/>
    <x v="11"/>
    <x v="2"/>
  </r>
  <r>
    <x v="2206"/>
    <x v="4"/>
    <x v="0"/>
    <n v="26.8"/>
    <n v="26.8"/>
    <x v="80"/>
    <d v="2025-03-23T00:00:00"/>
    <x v="2"/>
    <x v="0"/>
    <x v="1"/>
    <x v="0"/>
    <x v="2"/>
    <x v="3"/>
    <x v="11"/>
    <x v="2"/>
  </r>
  <r>
    <x v="2207"/>
    <x v="9"/>
    <x v="18"/>
    <n v="31.7"/>
    <n v="824.19999999999993"/>
    <x v="80"/>
    <d v="2025-03-22T00:00:00"/>
    <x v="2"/>
    <x v="3"/>
    <x v="0"/>
    <x v="0"/>
    <x v="2"/>
    <x v="7"/>
    <x v="11"/>
    <x v="2"/>
  </r>
  <r>
    <x v="2208"/>
    <x v="1"/>
    <x v="1"/>
    <n v="78.3"/>
    <n v="156.6"/>
    <x v="80"/>
    <d v="2025-03-24T00:00:00"/>
    <x v="2"/>
    <x v="1"/>
    <x v="1"/>
    <x v="0"/>
    <x v="3"/>
    <x v="1"/>
    <x v="11"/>
    <x v="2"/>
  </r>
  <r>
    <x v="2209"/>
    <x v="6"/>
    <x v="0"/>
    <n v="43.9"/>
    <n v="43.9"/>
    <x v="80"/>
    <d v="2025-03-23T00:00:00"/>
    <x v="1"/>
    <x v="0"/>
    <x v="0"/>
    <x v="0"/>
    <x v="3"/>
    <x v="3"/>
    <x v="11"/>
    <x v="1"/>
  </r>
  <r>
    <x v="2210"/>
    <x v="18"/>
    <x v="2"/>
    <n v="84"/>
    <n v="252"/>
    <x v="80"/>
    <d v="2025-03-24T00:00:00"/>
    <x v="0"/>
    <x v="3"/>
    <x v="2"/>
    <x v="0"/>
    <x v="3"/>
    <x v="1"/>
    <x v="11"/>
    <x v="0"/>
  </r>
  <r>
    <x v="2211"/>
    <x v="0"/>
    <x v="2"/>
    <n v="11.4"/>
    <n v="34.200000000000003"/>
    <x v="80"/>
    <d v="2025-03-23T00:00:00"/>
    <x v="1"/>
    <x v="4"/>
    <x v="0"/>
    <x v="0"/>
    <x v="3"/>
    <x v="3"/>
    <x v="11"/>
    <x v="1"/>
  </r>
  <r>
    <x v="2212"/>
    <x v="12"/>
    <x v="8"/>
    <n v="47.5"/>
    <n v="380"/>
    <x v="80"/>
    <d v="2025-03-30T00:00:00"/>
    <x v="2"/>
    <x v="0"/>
    <x v="0"/>
    <x v="0"/>
    <x v="3"/>
    <x v="9"/>
    <x v="11"/>
    <x v="2"/>
  </r>
  <r>
    <x v="2213"/>
    <x v="9"/>
    <x v="5"/>
    <n v="50.5"/>
    <n v="555.5"/>
    <x v="80"/>
    <d v="2025-03-24T00:00:00"/>
    <x v="1"/>
    <x v="2"/>
    <x v="0"/>
    <x v="0"/>
    <x v="3"/>
    <x v="1"/>
    <x v="11"/>
    <x v="1"/>
  </r>
  <r>
    <x v="2214"/>
    <x v="15"/>
    <x v="0"/>
    <n v="36.299999999999997"/>
    <n v="36.299999999999997"/>
    <x v="80"/>
    <d v="2025-03-25T00:00:00"/>
    <x v="3"/>
    <x v="0"/>
    <x v="1"/>
    <x v="0"/>
    <x v="8"/>
    <x v="2"/>
    <x v="11"/>
    <x v="3"/>
  </r>
  <r>
    <x v="2215"/>
    <x v="8"/>
    <x v="1"/>
    <n v="35.4"/>
    <n v="70.8"/>
    <x v="80"/>
    <d v="2025-03-23T00:00:00"/>
    <x v="2"/>
    <x v="0"/>
    <x v="0"/>
    <x v="0"/>
    <x v="17"/>
    <x v="3"/>
    <x v="11"/>
    <x v="2"/>
  </r>
  <r>
    <x v="2216"/>
    <x v="1"/>
    <x v="2"/>
    <n v="45.9"/>
    <n v="137.69999999999999"/>
    <x v="81"/>
    <d v="2025-03-24T00:00:00"/>
    <x v="1"/>
    <x v="3"/>
    <x v="0"/>
    <x v="0"/>
    <x v="9"/>
    <x v="3"/>
    <x v="12"/>
    <x v="1"/>
  </r>
  <r>
    <x v="2217"/>
    <x v="6"/>
    <x v="7"/>
    <n v="41.2"/>
    <n v="412"/>
    <x v="81"/>
    <d v="2025-03-27T00:00:00"/>
    <x v="1"/>
    <x v="0"/>
    <x v="0"/>
    <x v="0"/>
    <x v="11"/>
    <x v="5"/>
    <x v="12"/>
    <x v="1"/>
  </r>
  <r>
    <x v="2218"/>
    <x v="17"/>
    <x v="1"/>
    <n v="45.1"/>
    <n v="90.2"/>
    <x v="81"/>
    <d v="2025-03-24T00:00:00"/>
    <x v="1"/>
    <x v="1"/>
    <x v="1"/>
    <x v="0"/>
    <x v="21"/>
    <x v="3"/>
    <x v="12"/>
    <x v="1"/>
  </r>
  <r>
    <x v="2219"/>
    <x v="6"/>
    <x v="7"/>
    <n v="63.6"/>
    <n v="636"/>
    <x v="81"/>
    <d v="2025-03-23T00:00:00"/>
    <x v="1"/>
    <x v="2"/>
    <x v="0"/>
    <x v="0"/>
    <x v="1"/>
    <x v="7"/>
    <x v="12"/>
    <x v="1"/>
  </r>
  <r>
    <x v="2220"/>
    <x v="8"/>
    <x v="0"/>
    <n v="70.5"/>
    <n v="70.5"/>
    <x v="81"/>
    <d v="2025-03-24T00:00:00"/>
    <x v="1"/>
    <x v="0"/>
    <x v="0"/>
    <x v="0"/>
    <x v="3"/>
    <x v="3"/>
    <x v="12"/>
    <x v="1"/>
  </r>
  <r>
    <x v="2221"/>
    <x v="6"/>
    <x v="0"/>
    <n v="41.3"/>
    <n v="41.3"/>
    <x v="81"/>
    <d v="2025-03-23T00:00:00"/>
    <x v="1"/>
    <x v="4"/>
    <x v="0"/>
    <x v="0"/>
    <x v="3"/>
    <x v="7"/>
    <x v="12"/>
    <x v="1"/>
  </r>
  <r>
    <x v="2222"/>
    <x v="4"/>
    <x v="0"/>
    <n v="35.299999999999997"/>
    <n v="35.299999999999997"/>
    <x v="81"/>
    <d v="2025-03-26T00:00:00"/>
    <x v="2"/>
    <x v="4"/>
    <x v="2"/>
    <x v="0"/>
    <x v="3"/>
    <x v="2"/>
    <x v="12"/>
    <x v="2"/>
  </r>
  <r>
    <x v="2223"/>
    <x v="8"/>
    <x v="9"/>
    <n v="34.700000000000003"/>
    <n v="173.5"/>
    <x v="81"/>
    <d v="2025-03-24T00:00:00"/>
    <x v="2"/>
    <x v="0"/>
    <x v="2"/>
    <x v="0"/>
    <x v="3"/>
    <x v="3"/>
    <x v="12"/>
    <x v="2"/>
  </r>
  <r>
    <x v="2224"/>
    <x v="8"/>
    <x v="2"/>
    <n v="26.1"/>
    <n v="78.300000000000011"/>
    <x v="81"/>
    <d v="2025-03-24T00:00:00"/>
    <x v="2"/>
    <x v="0"/>
    <x v="0"/>
    <x v="0"/>
    <x v="3"/>
    <x v="3"/>
    <x v="12"/>
    <x v="2"/>
  </r>
  <r>
    <x v="2225"/>
    <x v="9"/>
    <x v="9"/>
    <n v="22.6"/>
    <n v="113"/>
    <x v="81"/>
    <d v="2025-03-23T00:00:00"/>
    <x v="2"/>
    <x v="1"/>
    <x v="2"/>
    <x v="0"/>
    <x v="3"/>
    <x v="7"/>
    <x v="12"/>
    <x v="2"/>
  </r>
  <r>
    <x v="2226"/>
    <x v="2"/>
    <x v="1"/>
    <n v="154.4"/>
    <n v="308.8"/>
    <x v="81"/>
    <d v="2025-03-26T00:00:00"/>
    <x v="1"/>
    <x v="1"/>
    <x v="1"/>
    <x v="0"/>
    <x v="3"/>
    <x v="2"/>
    <x v="12"/>
    <x v="1"/>
  </r>
  <r>
    <x v="2227"/>
    <x v="8"/>
    <x v="1"/>
    <n v="18.399999999999999"/>
    <n v="36.799999999999997"/>
    <x v="81"/>
    <d v="2025-03-24T00:00:00"/>
    <x v="1"/>
    <x v="0"/>
    <x v="0"/>
    <x v="0"/>
    <x v="3"/>
    <x v="3"/>
    <x v="12"/>
    <x v="1"/>
  </r>
  <r>
    <x v="2228"/>
    <x v="14"/>
    <x v="0"/>
    <n v="25"/>
    <n v="25"/>
    <x v="81"/>
    <d v="2025-03-26T00:00:00"/>
    <x v="2"/>
    <x v="0"/>
    <x v="0"/>
    <x v="0"/>
    <x v="3"/>
    <x v="2"/>
    <x v="12"/>
    <x v="2"/>
  </r>
  <r>
    <x v="2229"/>
    <x v="2"/>
    <x v="13"/>
    <n v="105.6"/>
    <n v="633.59999999999991"/>
    <x v="81"/>
    <d v="2025-03-23T00:00:00"/>
    <x v="2"/>
    <x v="0"/>
    <x v="0"/>
    <x v="0"/>
    <x v="3"/>
    <x v="7"/>
    <x v="12"/>
    <x v="2"/>
  </r>
  <r>
    <x v="2230"/>
    <x v="18"/>
    <x v="8"/>
    <n v="59.6"/>
    <n v="476.8"/>
    <x v="81"/>
    <d v="2025-03-23T00:00:00"/>
    <x v="2"/>
    <x v="0"/>
    <x v="2"/>
    <x v="0"/>
    <x v="23"/>
    <x v="7"/>
    <x v="12"/>
    <x v="2"/>
  </r>
  <r>
    <x v="2231"/>
    <x v="15"/>
    <x v="2"/>
    <n v="75.400000000000006"/>
    <n v="226.20000000000002"/>
    <x v="81"/>
    <d v="2025-03-28T00:00:00"/>
    <x v="1"/>
    <x v="0"/>
    <x v="1"/>
    <x v="0"/>
    <x v="7"/>
    <x v="0"/>
    <x v="12"/>
    <x v="1"/>
  </r>
  <r>
    <x v="2232"/>
    <x v="7"/>
    <x v="0"/>
    <n v="104.4"/>
    <n v="104.4"/>
    <x v="81"/>
    <d v="2025-03-24T00:00:00"/>
    <x v="2"/>
    <x v="0"/>
    <x v="0"/>
    <x v="0"/>
    <x v="8"/>
    <x v="3"/>
    <x v="12"/>
    <x v="2"/>
  </r>
  <r>
    <x v="2233"/>
    <x v="2"/>
    <x v="7"/>
    <n v="208.2"/>
    <n v="2082"/>
    <x v="81"/>
    <d v="2025-03-24T00:00:00"/>
    <x v="1"/>
    <x v="0"/>
    <x v="2"/>
    <x v="0"/>
    <x v="8"/>
    <x v="3"/>
    <x v="12"/>
    <x v="1"/>
  </r>
  <r>
    <x v="2234"/>
    <x v="6"/>
    <x v="1"/>
    <n v="45"/>
    <n v="90"/>
    <x v="81"/>
    <d v="2025-03-26T00:00:00"/>
    <x v="2"/>
    <x v="0"/>
    <x v="0"/>
    <x v="0"/>
    <x v="10"/>
    <x v="2"/>
    <x v="12"/>
    <x v="2"/>
  </r>
  <r>
    <x v="2235"/>
    <x v="15"/>
    <x v="1"/>
    <n v="20.3"/>
    <n v="40.6"/>
    <x v="82"/>
    <d v="2025-03-26T00:00:00"/>
    <x v="0"/>
    <x v="1"/>
    <x v="0"/>
    <x v="0"/>
    <x v="11"/>
    <x v="1"/>
    <x v="12"/>
    <x v="0"/>
  </r>
  <r>
    <x v="2236"/>
    <x v="2"/>
    <x v="2"/>
    <n v="94.4"/>
    <n v="283.20000000000005"/>
    <x v="82"/>
    <d v="2025-03-25T00:00:00"/>
    <x v="2"/>
    <x v="0"/>
    <x v="2"/>
    <x v="0"/>
    <x v="11"/>
    <x v="3"/>
    <x v="12"/>
    <x v="2"/>
  </r>
  <r>
    <x v="2237"/>
    <x v="9"/>
    <x v="0"/>
    <n v="49"/>
    <n v="49"/>
    <x v="82"/>
    <d v="2025-03-26T00:00:00"/>
    <x v="2"/>
    <x v="0"/>
    <x v="2"/>
    <x v="0"/>
    <x v="20"/>
    <x v="1"/>
    <x v="12"/>
    <x v="2"/>
  </r>
  <r>
    <x v="2238"/>
    <x v="4"/>
    <x v="1"/>
    <n v="27.2"/>
    <n v="54.4"/>
    <x v="82"/>
    <d v="2025-03-26T00:00:00"/>
    <x v="1"/>
    <x v="0"/>
    <x v="2"/>
    <x v="0"/>
    <x v="1"/>
    <x v="1"/>
    <x v="12"/>
    <x v="1"/>
  </r>
  <r>
    <x v="2239"/>
    <x v="2"/>
    <x v="13"/>
    <n v="72.599999999999994"/>
    <n v="435.59999999999997"/>
    <x v="82"/>
    <d v="2025-03-25T00:00:00"/>
    <x v="2"/>
    <x v="0"/>
    <x v="2"/>
    <x v="0"/>
    <x v="2"/>
    <x v="3"/>
    <x v="12"/>
    <x v="2"/>
  </r>
  <r>
    <x v="2240"/>
    <x v="15"/>
    <x v="12"/>
    <n v="62.4"/>
    <n v="249.6"/>
    <x v="82"/>
    <d v="2025-03-25T00:00:00"/>
    <x v="2"/>
    <x v="0"/>
    <x v="0"/>
    <x v="0"/>
    <x v="3"/>
    <x v="3"/>
    <x v="12"/>
    <x v="2"/>
  </r>
  <r>
    <x v="2241"/>
    <x v="8"/>
    <x v="2"/>
    <n v="19.100000000000001"/>
    <n v="57.300000000000004"/>
    <x v="82"/>
    <d v="2025-03-26T00:00:00"/>
    <x v="1"/>
    <x v="0"/>
    <x v="1"/>
    <x v="0"/>
    <x v="3"/>
    <x v="1"/>
    <x v="12"/>
    <x v="1"/>
  </r>
  <r>
    <x v="2242"/>
    <x v="10"/>
    <x v="0"/>
    <n v="29.6"/>
    <n v="29.6"/>
    <x v="82"/>
    <d v="2025-03-28T00:00:00"/>
    <x v="1"/>
    <x v="0"/>
    <x v="4"/>
    <x v="0"/>
    <x v="3"/>
    <x v="5"/>
    <x v="12"/>
    <x v="1"/>
  </r>
  <r>
    <x v="2243"/>
    <x v="8"/>
    <x v="1"/>
    <n v="18.899999999999999"/>
    <n v="37.799999999999997"/>
    <x v="82"/>
    <d v="2025-03-26T00:00:00"/>
    <x v="2"/>
    <x v="4"/>
    <x v="2"/>
    <x v="0"/>
    <x v="3"/>
    <x v="1"/>
    <x v="12"/>
    <x v="2"/>
  </r>
  <r>
    <x v="2244"/>
    <x v="10"/>
    <x v="9"/>
    <n v="41.4"/>
    <n v="207"/>
    <x v="82"/>
    <d v="2025-03-25T00:00:00"/>
    <x v="1"/>
    <x v="3"/>
    <x v="0"/>
    <x v="0"/>
    <x v="3"/>
    <x v="3"/>
    <x v="12"/>
    <x v="1"/>
  </r>
  <r>
    <x v="2245"/>
    <x v="2"/>
    <x v="0"/>
    <n v="118.4"/>
    <n v="118.4"/>
    <x v="82"/>
    <d v="2025-03-25T00:00:00"/>
    <x v="2"/>
    <x v="0"/>
    <x v="2"/>
    <x v="0"/>
    <x v="3"/>
    <x v="3"/>
    <x v="12"/>
    <x v="2"/>
  </r>
  <r>
    <x v="2246"/>
    <x v="2"/>
    <x v="1"/>
    <n v="125.3"/>
    <n v="250.6"/>
    <x v="82"/>
    <d v="2025-03-27T00:00:00"/>
    <x v="2"/>
    <x v="0"/>
    <x v="2"/>
    <x v="0"/>
    <x v="3"/>
    <x v="2"/>
    <x v="12"/>
    <x v="2"/>
  </r>
  <r>
    <x v="2247"/>
    <x v="3"/>
    <x v="1"/>
    <n v="85.8"/>
    <n v="171.6"/>
    <x v="82"/>
    <d v="2025-03-25T00:00:00"/>
    <x v="2"/>
    <x v="1"/>
    <x v="4"/>
    <x v="0"/>
    <x v="3"/>
    <x v="3"/>
    <x v="12"/>
    <x v="2"/>
  </r>
  <r>
    <x v="2248"/>
    <x v="6"/>
    <x v="0"/>
    <n v="44.2"/>
    <n v="44.2"/>
    <x v="82"/>
    <d v="2025-03-27T00:00:00"/>
    <x v="1"/>
    <x v="1"/>
    <x v="0"/>
    <x v="0"/>
    <x v="3"/>
    <x v="2"/>
    <x v="12"/>
    <x v="1"/>
  </r>
  <r>
    <x v="2249"/>
    <x v="5"/>
    <x v="12"/>
    <n v="74.099999999999994"/>
    <n v="296.39999999999998"/>
    <x v="82"/>
    <d v="2025-03-26T00:00:00"/>
    <x v="2"/>
    <x v="0"/>
    <x v="0"/>
    <x v="0"/>
    <x v="3"/>
    <x v="1"/>
    <x v="12"/>
    <x v="2"/>
  </r>
  <r>
    <x v="2250"/>
    <x v="8"/>
    <x v="0"/>
    <n v="33.799999999999997"/>
    <n v="33.799999999999997"/>
    <x v="82"/>
    <d v="2025-03-25T00:00:00"/>
    <x v="2"/>
    <x v="2"/>
    <x v="2"/>
    <x v="0"/>
    <x v="24"/>
    <x v="3"/>
    <x v="12"/>
    <x v="2"/>
  </r>
  <r>
    <x v="2251"/>
    <x v="1"/>
    <x v="1"/>
    <n v="39.1"/>
    <n v="78.2"/>
    <x v="82"/>
    <d v="2025-03-25T00:00:00"/>
    <x v="1"/>
    <x v="0"/>
    <x v="1"/>
    <x v="0"/>
    <x v="24"/>
    <x v="3"/>
    <x v="12"/>
    <x v="1"/>
  </r>
  <r>
    <x v="2252"/>
    <x v="0"/>
    <x v="0"/>
    <n v="37.200000000000003"/>
    <n v="37.200000000000003"/>
    <x v="82"/>
    <d v="2025-03-25T00:00:00"/>
    <x v="1"/>
    <x v="0"/>
    <x v="1"/>
    <x v="0"/>
    <x v="16"/>
    <x v="3"/>
    <x v="12"/>
    <x v="1"/>
  </r>
  <r>
    <x v="2253"/>
    <x v="15"/>
    <x v="2"/>
    <n v="33.9"/>
    <n v="101.69999999999999"/>
    <x v="82"/>
    <d v="2025-03-26T00:00:00"/>
    <x v="1"/>
    <x v="2"/>
    <x v="0"/>
    <x v="0"/>
    <x v="6"/>
    <x v="1"/>
    <x v="12"/>
    <x v="1"/>
  </r>
  <r>
    <x v="2254"/>
    <x v="7"/>
    <x v="20"/>
    <n v="73.3"/>
    <n v="1099.5"/>
    <x v="82"/>
    <d v="2025-03-27T00:00:00"/>
    <x v="2"/>
    <x v="2"/>
    <x v="1"/>
    <x v="0"/>
    <x v="8"/>
    <x v="2"/>
    <x v="12"/>
    <x v="2"/>
  </r>
  <r>
    <x v="2255"/>
    <x v="8"/>
    <x v="12"/>
    <n v="35"/>
    <n v="140"/>
    <x v="82"/>
    <d v="2025-03-26T00:00:00"/>
    <x v="2"/>
    <x v="1"/>
    <x v="0"/>
    <x v="0"/>
    <x v="8"/>
    <x v="1"/>
    <x v="12"/>
    <x v="2"/>
  </r>
  <r>
    <x v="2256"/>
    <x v="0"/>
    <x v="2"/>
    <n v="22.2"/>
    <n v="66.599999999999994"/>
    <x v="82"/>
    <d v="2025-03-25T00:00:00"/>
    <x v="1"/>
    <x v="1"/>
    <x v="0"/>
    <x v="0"/>
    <x v="17"/>
    <x v="3"/>
    <x v="12"/>
    <x v="1"/>
  </r>
  <r>
    <x v="2257"/>
    <x v="10"/>
    <x v="0"/>
    <n v="32.4"/>
    <n v="32.4"/>
    <x v="82"/>
    <d v="2025-03-25T00:00:00"/>
    <x v="2"/>
    <x v="0"/>
    <x v="0"/>
    <x v="0"/>
    <x v="11"/>
    <x v="3"/>
    <x v="12"/>
    <x v="2"/>
  </r>
  <r>
    <x v="2258"/>
    <x v="5"/>
    <x v="2"/>
    <n v="88.4"/>
    <n v="265.20000000000005"/>
    <x v="83"/>
    <d v="2025-03-27T00:00:00"/>
    <x v="2"/>
    <x v="1"/>
    <x v="1"/>
    <x v="0"/>
    <x v="11"/>
    <x v="1"/>
    <x v="12"/>
    <x v="2"/>
  </r>
  <r>
    <x v="2259"/>
    <x v="5"/>
    <x v="27"/>
    <n v="30.5"/>
    <n v="488"/>
    <x v="83"/>
    <d v="2025-03-26T00:00:00"/>
    <x v="2"/>
    <x v="2"/>
    <x v="0"/>
    <x v="0"/>
    <x v="11"/>
    <x v="3"/>
    <x v="12"/>
    <x v="2"/>
  </r>
  <r>
    <x v="2260"/>
    <x v="1"/>
    <x v="13"/>
    <n v="38.1"/>
    <n v="228.60000000000002"/>
    <x v="83"/>
    <d v="2025-03-27T00:00:00"/>
    <x v="2"/>
    <x v="0"/>
    <x v="1"/>
    <x v="0"/>
    <x v="11"/>
    <x v="1"/>
    <x v="12"/>
    <x v="2"/>
  </r>
  <r>
    <x v="2261"/>
    <x v="10"/>
    <x v="9"/>
    <n v="37.6"/>
    <n v="188"/>
    <x v="83"/>
    <d v="2025-03-29T00:00:00"/>
    <x v="1"/>
    <x v="0"/>
    <x v="0"/>
    <x v="0"/>
    <x v="11"/>
    <x v="5"/>
    <x v="12"/>
    <x v="1"/>
  </r>
  <r>
    <x v="2262"/>
    <x v="15"/>
    <x v="1"/>
    <n v="31.4"/>
    <n v="62.8"/>
    <x v="83"/>
    <d v="2025-03-26T00:00:00"/>
    <x v="1"/>
    <x v="0"/>
    <x v="2"/>
    <x v="0"/>
    <x v="11"/>
    <x v="3"/>
    <x v="12"/>
    <x v="1"/>
  </r>
  <r>
    <x v="2263"/>
    <x v="6"/>
    <x v="1"/>
    <n v="61.5"/>
    <n v="123"/>
    <x v="83"/>
    <d v="2025-03-26T00:00:00"/>
    <x v="1"/>
    <x v="3"/>
    <x v="0"/>
    <x v="0"/>
    <x v="31"/>
    <x v="3"/>
    <x v="12"/>
    <x v="1"/>
  </r>
  <r>
    <x v="2264"/>
    <x v="6"/>
    <x v="0"/>
    <n v="72.599999999999994"/>
    <n v="72.599999999999994"/>
    <x v="83"/>
    <d v="2025-03-26T00:00:00"/>
    <x v="1"/>
    <x v="0"/>
    <x v="1"/>
    <x v="0"/>
    <x v="21"/>
    <x v="3"/>
    <x v="12"/>
    <x v="1"/>
  </r>
  <r>
    <x v="2265"/>
    <x v="9"/>
    <x v="2"/>
    <n v="26.9"/>
    <n v="80.699999999999989"/>
    <x v="83"/>
    <d v="2025-03-30T00:00:00"/>
    <x v="3"/>
    <x v="4"/>
    <x v="1"/>
    <x v="0"/>
    <x v="46"/>
    <x v="0"/>
    <x v="12"/>
    <x v="3"/>
  </r>
  <r>
    <x v="2266"/>
    <x v="17"/>
    <x v="4"/>
    <n v="29.4"/>
    <n v="352.79999999999995"/>
    <x v="83"/>
    <d v="2025-03-26T00:00:00"/>
    <x v="2"/>
    <x v="1"/>
    <x v="0"/>
    <x v="0"/>
    <x v="51"/>
    <x v="3"/>
    <x v="12"/>
    <x v="2"/>
  </r>
  <r>
    <x v="2267"/>
    <x v="17"/>
    <x v="1"/>
    <n v="42.1"/>
    <n v="84.2"/>
    <x v="83"/>
    <d v="2025-03-26T00:00:00"/>
    <x v="2"/>
    <x v="3"/>
    <x v="1"/>
    <x v="0"/>
    <x v="1"/>
    <x v="3"/>
    <x v="12"/>
    <x v="2"/>
  </r>
  <r>
    <x v="2268"/>
    <x v="5"/>
    <x v="0"/>
    <n v="40.5"/>
    <n v="40.5"/>
    <x v="83"/>
    <d v="2025-03-26T00:00:00"/>
    <x v="2"/>
    <x v="2"/>
    <x v="1"/>
    <x v="0"/>
    <x v="1"/>
    <x v="3"/>
    <x v="12"/>
    <x v="2"/>
  </r>
  <r>
    <x v="2269"/>
    <x v="2"/>
    <x v="12"/>
    <n v="182.3"/>
    <n v="729.2"/>
    <x v="83"/>
    <d v="2025-03-26T00:00:00"/>
    <x v="2"/>
    <x v="1"/>
    <x v="0"/>
    <x v="0"/>
    <x v="1"/>
    <x v="3"/>
    <x v="12"/>
    <x v="2"/>
  </r>
  <r>
    <x v="2270"/>
    <x v="2"/>
    <x v="9"/>
    <n v="157"/>
    <n v="785"/>
    <x v="83"/>
    <d v="2025-03-28T00:00:00"/>
    <x v="2"/>
    <x v="1"/>
    <x v="2"/>
    <x v="0"/>
    <x v="2"/>
    <x v="2"/>
    <x v="12"/>
    <x v="2"/>
  </r>
  <r>
    <x v="2271"/>
    <x v="17"/>
    <x v="9"/>
    <n v="45.2"/>
    <n v="226"/>
    <x v="83"/>
    <d v="2025-03-28T00:00:00"/>
    <x v="2"/>
    <x v="1"/>
    <x v="0"/>
    <x v="0"/>
    <x v="22"/>
    <x v="2"/>
    <x v="12"/>
    <x v="2"/>
  </r>
  <r>
    <x v="2272"/>
    <x v="15"/>
    <x v="12"/>
    <n v="27.4"/>
    <n v="109.6"/>
    <x v="83"/>
    <d v="2025-03-27T00:00:00"/>
    <x v="2"/>
    <x v="0"/>
    <x v="0"/>
    <x v="0"/>
    <x v="3"/>
    <x v="1"/>
    <x v="12"/>
    <x v="2"/>
  </r>
  <r>
    <x v="2273"/>
    <x v="5"/>
    <x v="9"/>
    <n v="34.1"/>
    <n v="170.5"/>
    <x v="83"/>
    <d v="2025-03-27T00:00:00"/>
    <x v="1"/>
    <x v="0"/>
    <x v="2"/>
    <x v="0"/>
    <x v="3"/>
    <x v="1"/>
    <x v="12"/>
    <x v="1"/>
  </r>
  <r>
    <x v="2274"/>
    <x v="0"/>
    <x v="1"/>
    <n v="26"/>
    <n v="52"/>
    <x v="83"/>
    <d v="2025-03-27T00:00:00"/>
    <x v="1"/>
    <x v="2"/>
    <x v="1"/>
    <x v="0"/>
    <x v="3"/>
    <x v="1"/>
    <x v="12"/>
    <x v="1"/>
  </r>
  <r>
    <x v="2275"/>
    <x v="8"/>
    <x v="3"/>
    <n v="19.399999999999999"/>
    <n v="135.79999999999998"/>
    <x v="83"/>
    <d v="2025-03-27T00:00:00"/>
    <x v="0"/>
    <x v="1"/>
    <x v="1"/>
    <x v="0"/>
    <x v="3"/>
    <x v="1"/>
    <x v="12"/>
    <x v="0"/>
  </r>
  <r>
    <x v="2276"/>
    <x v="16"/>
    <x v="2"/>
    <n v="30.3"/>
    <n v="90.9"/>
    <x v="83"/>
    <d v="2025-03-28T00:00:00"/>
    <x v="2"/>
    <x v="1"/>
    <x v="2"/>
    <x v="0"/>
    <x v="3"/>
    <x v="2"/>
    <x v="12"/>
    <x v="2"/>
  </r>
  <r>
    <x v="2277"/>
    <x v="2"/>
    <x v="2"/>
    <n v="101.4"/>
    <n v="304.20000000000005"/>
    <x v="83"/>
    <d v="2025-03-26T00:00:00"/>
    <x v="1"/>
    <x v="0"/>
    <x v="0"/>
    <x v="0"/>
    <x v="3"/>
    <x v="3"/>
    <x v="12"/>
    <x v="1"/>
  </r>
  <r>
    <x v="2278"/>
    <x v="3"/>
    <x v="9"/>
    <n v="55.5"/>
    <n v="277.5"/>
    <x v="83"/>
    <d v="2025-03-28T00:00:00"/>
    <x v="1"/>
    <x v="1"/>
    <x v="0"/>
    <x v="0"/>
    <x v="24"/>
    <x v="2"/>
    <x v="12"/>
    <x v="1"/>
  </r>
  <r>
    <x v="2279"/>
    <x v="8"/>
    <x v="0"/>
    <n v="23.1"/>
    <n v="23.1"/>
    <x v="83"/>
    <d v="2025-03-26T00:00:00"/>
    <x v="1"/>
    <x v="0"/>
    <x v="0"/>
    <x v="0"/>
    <x v="25"/>
    <x v="3"/>
    <x v="12"/>
    <x v="1"/>
  </r>
  <r>
    <x v="2280"/>
    <x v="18"/>
    <x v="1"/>
    <n v="38.9"/>
    <n v="77.8"/>
    <x v="83"/>
    <d v="2025-03-26T00:00:00"/>
    <x v="1"/>
    <x v="2"/>
    <x v="0"/>
    <x v="0"/>
    <x v="25"/>
    <x v="3"/>
    <x v="12"/>
    <x v="1"/>
  </r>
  <r>
    <x v="2281"/>
    <x v="6"/>
    <x v="11"/>
    <n v="116.3"/>
    <n v="1046.7"/>
    <x v="83"/>
    <d v="2025-03-29T00:00:00"/>
    <x v="2"/>
    <x v="0"/>
    <x v="0"/>
    <x v="0"/>
    <x v="5"/>
    <x v="5"/>
    <x v="12"/>
    <x v="2"/>
  </r>
  <r>
    <x v="2282"/>
    <x v="16"/>
    <x v="11"/>
    <n v="64.099999999999994"/>
    <n v="576.9"/>
    <x v="83"/>
    <d v="2025-03-25T00:00:00"/>
    <x v="2"/>
    <x v="0"/>
    <x v="2"/>
    <x v="0"/>
    <x v="6"/>
    <x v="7"/>
    <x v="12"/>
    <x v="2"/>
  </r>
  <r>
    <x v="2283"/>
    <x v="2"/>
    <x v="13"/>
    <n v="109.2"/>
    <n v="655.20000000000005"/>
    <x v="83"/>
    <d v="2025-03-27T00:00:00"/>
    <x v="1"/>
    <x v="0"/>
    <x v="1"/>
    <x v="0"/>
    <x v="8"/>
    <x v="1"/>
    <x v="12"/>
    <x v="1"/>
  </r>
  <r>
    <x v="2284"/>
    <x v="10"/>
    <x v="9"/>
    <n v="23.2"/>
    <n v="116"/>
    <x v="84"/>
    <d v="2025-03-27T00:00:00"/>
    <x v="1"/>
    <x v="0"/>
    <x v="1"/>
    <x v="0"/>
    <x v="8"/>
    <x v="3"/>
    <x v="12"/>
    <x v="1"/>
  </r>
  <r>
    <x v="2285"/>
    <x v="18"/>
    <x v="13"/>
    <n v="81.2"/>
    <n v="487.20000000000005"/>
    <x v="84"/>
    <d v="2025-03-28T00:00:00"/>
    <x v="1"/>
    <x v="2"/>
    <x v="2"/>
    <x v="0"/>
    <x v="8"/>
    <x v="1"/>
    <x v="12"/>
    <x v="1"/>
  </r>
  <r>
    <x v="2286"/>
    <x v="1"/>
    <x v="21"/>
    <n v="35.700000000000003"/>
    <n v="499.80000000000007"/>
    <x v="84"/>
    <d v="2025-03-27T00:00:00"/>
    <x v="1"/>
    <x v="3"/>
    <x v="0"/>
    <x v="0"/>
    <x v="8"/>
    <x v="3"/>
    <x v="12"/>
    <x v="1"/>
  </r>
  <r>
    <x v="2287"/>
    <x v="7"/>
    <x v="1"/>
    <n v="44.5"/>
    <n v="89"/>
    <x v="84"/>
    <d v="2025-03-29T00:00:00"/>
    <x v="1"/>
    <x v="4"/>
    <x v="0"/>
    <x v="0"/>
    <x v="9"/>
    <x v="2"/>
    <x v="12"/>
    <x v="1"/>
  </r>
  <r>
    <x v="2288"/>
    <x v="1"/>
    <x v="9"/>
    <n v="32"/>
    <n v="160"/>
    <x v="84"/>
    <d v="2025-03-28T00:00:00"/>
    <x v="3"/>
    <x v="1"/>
    <x v="1"/>
    <x v="0"/>
    <x v="9"/>
    <x v="1"/>
    <x v="12"/>
    <x v="3"/>
  </r>
  <r>
    <x v="2289"/>
    <x v="8"/>
    <x v="0"/>
    <n v="25.7"/>
    <n v="25.7"/>
    <x v="84"/>
    <d v="2025-03-27T00:00:00"/>
    <x v="1"/>
    <x v="0"/>
    <x v="0"/>
    <x v="0"/>
    <x v="10"/>
    <x v="3"/>
    <x v="12"/>
    <x v="1"/>
  </r>
  <r>
    <x v="2290"/>
    <x v="16"/>
    <x v="2"/>
    <n v="65.599999999999994"/>
    <n v="196.79999999999998"/>
    <x v="84"/>
    <d v="2025-04-01T00:00:00"/>
    <x v="1"/>
    <x v="0"/>
    <x v="0"/>
    <x v="0"/>
    <x v="11"/>
    <x v="4"/>
    <x v="12"/>
    <x v="1"/>
  </r>
  <r>
    <x v="2291"/>
    <x v="1"/>
    <x v="12"/>
    <n v="52.1"/>
    <n v="208.4"/>
    <x v="84"/>
    <d v="2025-03-27T00:00:00"/>
    <x v="2"/>
    <x v="0"/>
    <x v="2"/>
    <x v="0"/>
    <x v="11"/>
    <x v="3"/>
    <x v="12"/>
    <x v="2"/>
  </r>
  <r>
    <x v="2292"/>
    <x v="8"/>
    <x v="0"/>
    <n v="31"/>
    <n v="31"/>
    <x v="84"/>
    <d v="2025-03-27T00:00:00"/>
    <x v="1"/>
    <x v="0"/>
    <x v="1"/>
    <x v="0"/>
    <x v="19"/>
    <x v="3"/>
    <x v="12"/>
    <x v="1"/>
  </r>
  <r>
    <x v="2293"/>
    <x v="8"/>
    <x v="0"/>
    <n v="32"/>
    <n v="32"/>
    <x v="84"/>
    <d v="2025-03-28T00:00:00"/>
    <x v="3"/>
    <x v="3"/>
    <x v="1"/>
    <x v="0"/>
    <x v="31"/>
    <x v="1"/>
    <x v="12"/>
    <x v="3"/>
  </r>
  <r>
    <x v="2294"/>
    <x v="16"/>
    <x v="12"/>
    <n v="58.3"/>
    <n v="233.2"/>
    <x v="84"/>
    <d v="2025-03-30T00:00:00"/>
    <x v="1"/>
    <x v="1"/>
    <x v="4"/>
    <x v="0"/>
    <x v="20"/>
    <x v="5"/>
    <x v="12"/>
    <x v="1"/>
  </r>
  <r>
    <x v="2295"/>
    <x v="8"/>
    <x v="2"/>
    <n v="31"/>
    <n v="93"/>
    <x v="84"/>
    <d v="2025-03-28T00:00:00"/>
    <x v="2"/>
    <x v="2"/>
    <x v="4"/>
    <x v="0"/>
    <x v="13"/>
    <x v="1"/>
    <x v="12"/>
    <x v="2"/>
  </r>
  <r>
    <x v="2296"/>
    <x v="3"/>
    <x v="0"/>
    <n v="40.299999999999997"/>
    <n v="40.299999999999997"/>
    <x v="84"/>
    <d v="2025-03-27T00:00:00"/>
    <x v="1"/>
    <x v="1"/>
    <x v="2"/>
    <x v="0"/>
    <x v="54"/>
    <x v="3"/>
    <x v="12"/>
    <x v="1"/>
  </r>
  <r>
    <x v="2297"/>
    <x v="6"/>
    <x v="2"/>
    <n v="47.3"/>
    <n v="141.89999999999998"/>
    <x v="84"/>
    <d v="2025-03-28T00:00:00"/>
    <x v="1"/>
    <x v="4"/>
    <x v="2"/>
    <x v="0"/>
    <x v="2"/>
    <x v="1"/>
    <x v="12"/>
    <x v="1"/>
  </r>
  <r>
    <x v="2298"/>
    <x v="2"/>
    <x v="0"/>
    <n v="82.8"/>
    <n v="82.8"/>
    <x v="84"/>
    <d v="2025-03-27T00:00:00"/>
    <x v="1"/>
    <x v="0"/>
    <x v="0"/>
    <x v="0"/>
    <x v="2"/>
    <x v="3"/>
    <x v="12"/>
    <x v="1"/>
  </r>
  <r>
    <x v="2299"/>
    <x v="8"/>
    <x v="0"/>
    <n v="18.5"/>
    <n v="18.5"/>
    <x v="84"/>
    <d v="2025-04-09T00:00:00"/>
    <x v="2"/>
    <x v="0"/>
    <x v="0"/>
    <x v="0"/>
    <x v="44"/>
    <x v="12"/>
    <x v="12"/>
    <x v="2"/>
  </r>
  <r>
    <x v="2300"/>
    <x v="3"/>
    <x v="1"/>
    <n v="60.4"/>
    <n v="120.8"/>
    <x v="84"/>
    <d v="2025-03-27T00:00:00"/>
    <x v="1"/>
    <x v="2"/>
    <x v="0"/>
    <x v="0"/>
    <x v="22"/>
    <x v="3"/>
    <x v="12"/>
    <x v="1"/>
  </r>
  <r>
    <x v="2301"/>
    <x v="6"/>
    <x v="9"/>
    <n v="80.2"/>
    <n v="401"/>
    <x v="84"/>
    <d v="2025-04-02T00:00:00"/>
    <x v="1"/>
    <x v="1"/>
    <x v="1"/>
    <x v="0"/>
    <x v="50"/>
    <x v="6"/>
    <x v="12"/>
    <x v="1"/>
  </r>
  <r>
    <x v="2302"/>
    <x v="4"/>
    <x v="0"/>
    <n v="41.5"/>
    <n v="41.5"/>
    <x v="84"/>
    <d v="2025-03-28T00:00:00"/>
    <x v="1"/>
    <x v="2"/>
    <x v="0"/>
    <x v="0"/>
    <x v="3"/>
    <x v="1"/>
    <x v="12"/>
    <x v="1"/>
  </r>
  <r>
    <x v="2303"/>
    <x v="2"/>
    <x v="1"/>
    <n v="83.9"/>
    <n v="167.8"/>
    <x v="84"/>
    <d v="2025-03-29T00:00:00"/>
    <x v="2"/>
    <x v="0"/>
    <x v="0"/>
    <x v="0"/>
    <x v="3"/>
    <x v="2"/>
    <x v="12"/>
    <x v="2"/>
  </r>
  <r>
    <x v="2304"/>
    <x v="8"/>
    <x v="1"/>
    <n v="16.7"/>
    <n v="33.4"/>
    <x v="84"/>
    <d v="2025-03-30T00:00:00"/>
    <x v="2"/>
    <x v="0"/>
    <x v="1"/>
    <x v="0"/>
    <x v="3"/>
    <x v="5"/>
    <x v="12"/>
    <x v="2"/>
  </r>
  <r>
    <x v="2305"/>
    <x v="9"/>
    <x v="1"/>
    <n v="72.900000000000006"/>
    <n v="145.80000000000001"/>
    <x v="84"/>
    <d v="2025-03-27T00:00:00"/>
    <x v="1"/>
    <x v="2"/>
    <x v="1"/>
    <x v="0"/>
    <x v="3"/>
    <x v="3"/>
    <x v="12"/>
    <x v="1"/>
  </r>
  <r>
    <x v="2306"/>
    <x v="5"/>
    <x v="1"/>
    <n v="50.2"/>
    <n v="100.4"/>
    <x v="84"/>
    <d v="2025-03-28T00:00:00"/>
    <x v="2"/>
    <x v="1"/>
    <x v="2"/>
    <x v="0"/>
    <x v="3"/>
    <x v="1"/>
    <x v="12"/>
    <x v="2"/>
  </r>
  <r>
    <x v="2307"/>
    <x v="3"/>
    <x v="1"/>
    <n v="34.200000000000003"/>
    <n v="68.400000000000006"/>
    <x v="84"/>
    <d v="2025-04-05T00:00:00"/>
    <x v="0"/>
    <x v="1"/>
    <x v="0"/>
    <x v="0"/>
    <x v="3"/>
    <x v="14"/>
    <x v="12"/>
    <x v="0"/>
  </r>
  <r>
    <x v="2308"/>
    <x v="5"/>
    <x v="1"/>
    <n v="107.9"/>
    <n v="215.8"/>
    <x v="84"/>
    <d v="2025-03-26T00:00:00"/>
    <x v="1"/>
    <x v="1"/>
    <x v="4"/>
    <x v="0"/>
    <x v="3"/>
    <x v="7"/>
    <x v="12"/>
    <x v="1"/>
  </r>
  <r>
    <x v="2309"/>
    <x v="0"/>
    <x v="2"/>
    <n v="17.5"/>
    <n v="52.5"/>
    <x v="84"/>
    <d v="2025-03-28T00:00:00"/>
    <x v="1"/>
    <x v="4"/>
    <x v="0"/>
    <x v="0"/>
    <x v="3"/>
    <x v="1"/>
    <x v="12"/>
    <x v="1"/>
  </r>
  <r>
    <x v="2310"/>
    <x v="13"/>
    <x v="20"/>
    <n v="44.7"/>
    <n v="670.5"/>
    <x v="84"/>
    <d v="2025-03-27T00:00:00"/>
    <x v="1"/>
    <x v="0"/>
    <x v="1"/>
    <x v="0"/>
    <x v="3"/>
    <x v="3"/>
    <x v="12"/>
    <x v="1"/>
  </r>
  <r>
    <x v="2311"/>
    <x v="12"/>
    <x v="13"/>
    <n v="92.7"/>
    <n v="556.20000000000005"/>
    <x v="84"/>
    <d v="2025-03-28T00:00:00"/>
    <x v="2"/>
    <x v="2"/>
    <x v="1"/>
    <x v="0"/>
    <x v="3"/>
    <x v="1"/>
    <x v="12"/>
    <x v="2"/>
  </r>
  <r>
    <x v="2312"/>
    <x v="7"/>
    <x v="2"/>
    <n v="48.8"/>
    <n v="146.39999999999998"/>
    <x v="84"/>
    <d v="2025-03-28T00:00:00"/>
    <x v="2"/>
    <x v="2"/>
    <x v="0"/>
    <x v="0"/>
    <x v="3"/>
    <x v="1"/>
    <x v="12"/>
    <x v="2"/>
  </r>
  <r>
    <x v="2313"/>
    <x v="4"/>
    <x v="27"/>
    <n v="21.3"/>
    <n v="340.8"/>
    <x v="84"/>
    <d v="2025-03-30T00:00:00"/>
    <x v="2"/>
    <x v="3"/>
    <x v="3"/>
    <x v="0"/>
    <x v="3"/>
    <x v="5"/>
    <x v="12"/>
    <x v="2"/>
  </r>
  <r>
    <x v="2314"/>
    <x v="16"/>
    <x v="0"/>
    <n v="52.5"/>
    <n v="52.5"/>
    <x v="84"/>
    <d v="2025-03-27T00:00:00"/>
    <x v="2"/>
    <x v="0"/>
    <x v="0"/>
    <x v="0"/>
    <x v="3"/>
    <x v="3"/>
    <x v="12"/>
    <x v="2"/>
  </r>
  <r>
    <x v="2315"/>
    <x v="1"/>
    <x v="1"/>
    <n v="92.4"/>
    <n v="184.8"/>
    <x v="84"/>
    <d v="2025-04-01T00:00:00"/>
    <x v="2"/>
    <x v="0"/>
    <x v="2"/>
    <x v="0"/>
    <x v="3"/>
    <x v="4"/>
    <x v="12"/>
    <x v="2"/>
  </r>
  <r>
    <x v="2316"/>
    <x v="4"/>
    <x v="5"/>
    <n v="58.3"/>
    <n v="641.29999999999995"/>
    <x v="84"/>
    <d v="2025-03-28T00:00:00"/>
    <x v="1"/>
    <x v="1"/>
    <x v="2"/>
    <x v="0"/>
    <x v="3"/>
    <x v="1"/>
    <x v="12"/>
    <x v="1"/>
  </r>
  <r>
    <x v="2317"/>
    <x v="6"/>
    <x v="44"/>
    <n v="152.6"/>
    <n v="3509.7999999999997"/>
    <x v="85"/>
    <d v="2025-03-29T00:00:00"/>
    <x v="0"/>
    <x v="0"/>
    <x v="0"/>
    <x v="0"/>
    <x v="3"/>
    <x v="1"/>
    <x v="12"/>
    <x v="0"/>
  </r>
  <r>
    <x v="2318"/>
    <x v="8"/>
    <x v="1"/>
    <n v="26"/>
    <n v="52"/>
    <x v="85"/>
    <d v="2025-03-27T00:00:00"/>
    <x v="0"/>
    <x v="0"/>
    <x v="1"/>
    <x v="0"/>
    <x v="3"/>
    <x v="7"/>
    <x v="12"/>
    <x v="0"/>
  </r>
  <r>
    <x v="2319"/>
    <x v="1"/>
    <x v="12"/>
    <n v="33.1"/>
    <n v="132.4"/>
    <x v="85"/>
    <d v="2025-03-27T00:00:00"/>
    <x v="1"/>
    <x v="2"/>
    <x v="4"/>
    <x v="0"/>
    <x v="5"/>
    <x v="7"/>
    <x v="12"/>
    <x v="1"/>
  </r>
  <r>
    <x v="2320"/>
    <x v="18"/>
    <x v="0"/>
    <n v="51.4"/>
    <n v="51.4"/>
    <x v="85"/>
    <d v="2025-03-29T00:00:00"/>
    <x v="2"/>
    <x v="1"/>
    <x v="1"/>
    <x v="0"/>
    <x v="5"/>
    <x v="1"/>
    <x v="12"/>
    <x v="2"/>
  </r>
  <r>
    <x v="2321"/>
    <x v="8"/>
    <x v="1"/>
    <n v="30.2"/>
    <n v="60.4"/>
    <x v="85"/>
    <d v="2025-03-28T00:00:00"/>
    <x v="2"/>
    <x v="2"/>
    <x v="2"/>
    <x v="0"/>
    <x v="6"/>
    <x v="3"/>
    <x v="12"/>
    <x v="2"/>
  </r>
  <r>
    <x v="2322"/>
    <x v="2"/>
    <x v="13"/>
    <n v="97"/>
    <n v="582"/>
    <x v="85"/>
    <d v="2025-03-31T00:00:00"/>
    <x v="2"/>
    <x v="0"/>
    <x v="2"/>
    <x v="0"/>
    <x v="7"/>
    <x v="5"/>
    <x v="12"/>
    <x v="2"/>
  </r>
  <r>
    <x v="2323"/>
    <x v="2"/>
    <x v="0"/>
    <n v="76.900000000000006"/>
    <n v="76.900000000000006"/>
    <x v="85"/>
    <d v="2025-03-28T00:00:00"/>
    <x v="1"/>
    <x v="1"/>
    <x v="2"/>
    <x v="0"/>
    <x v="8"/>
    <x v="3"/>
    <x v="12"/>
    <x v="1"/>
  </r>
  <r>
    <x v="2324"/>
    <x v="7"/>
    <x v="13"/>
    <n v="36.1"/>
    <n v="216.60000000000002"/>
    <x v="85"/>
    <d v="2025-03-31T00:00:00"/>
    <x v="2"/>
    <x v="0"/>
    <x v="0"/>
    <x v="0"/>
    <x v="8"/>
    <x v="5"/>
    <x v="12"/>
    <x v="2"/>
  </r>
  <r>
    <x v="2325"/>
    <x v="1"/>
    <x v="3"/>
    <n v="34.4"/>
    <n v="240.79999999999998"/>
    <x v="85"/>
    <d v="2025-03-27T00:00:00"/>
    <x v="2"/>
    <x v="2"/>
    <x v="1"/>
    <x v="0"/>
    <x v="11"/>
    <x v="7"/>
    <x v="12"/>
    <x v="2"/>
  </r>
  <r>
    <x v="2326"/>
    <x v="1"/>
    <x v="31"/>
    <n v="53.4"/>
    <n v="1495.2"/>
    <x v="85"/>
    <d v="2025-03-29T00:00:00"/>
    <x v="2"/>
    <x v="1"/>
    <x v="0"/>
    <x v="0"/>
    <x v="18"/>
    <x v="1"/>
    <x v="12"/>
    <x v="2"/>
  </r>
  <r>
    <x v="2327"/>
    <x v="2"/>
    <x v="0"/>
    <n v="77.599999999999994"/>
    <n v="77.599999999999994"/>
    <x v="85"/>
    <d v="2025-03-28T00:00:00"/>
    <x v="2"/>
    <x v="0"/>
    <x v="1"/>
    <x v="0"/>
    <x v="19"/>
    <x v="3"/>
    <x v="12"/>
    <x v="2"/>
  </r>
  <r>
    <x v="2328"/>
    <x v="1"/>
    <x v="2"/>
    <n v="71.7"/>
    <n v="215.10000000000002"/>
    <x v="85"/>
    <d v="2025-03-30T00:00:00"/>
    <x v="2"/>
    <x v="1"/>
    <x v="0"/>
    <x v="0"/>
    <x v="19"/>
    <x v="2"/>
    <x v="12"/>
    <x v="2"/>
  </r>
  <r>
    <x v="2329"/>
    <x v="3"/>
    <x v="2"/>
    <n v="80.599999999999994"/>
    <n v="241.79999999999998"/>
    <x v="85"/>
    <d v="2025-03-28T00:00:00"/>
    <x v="1"/>
    <x v="4"/>
    <x v="1"/>
    <x v="0"/>
    <x v="19"/>
    <x v="3"/>
    <x v="12"/>
    <x v="1"/>
  </r>
  <r>
    <x v="2330"/>
    <x v="1"/>
    <x v="20"/>
    <n v="70"/>
    <n v="1050"/>
    <x v="85"/>
    <d v="2025-03-29T00:00:00"/>
    <x v="1"/>
    <x v="0"/>
    <x v="0"/>
    <x v="0"/>
    <x v="20"/>
    <x v="1"/>
    <x v="12"/>
    <x v="1"/>
  </r>
  <r>
    <x v="2331"/>
    <x v="4"/>
    <x v="13"/>
    <n v="27.3"/>
    <n v="163.80000000000001"/>
    <x v="85"/>
    <d v="2025-03-29T00:00:00"/>
    <x v="2"/>
    <x v="1"/>
    <x v="1"/>
    <x v="0"/>
    <x v="2"/>
    <x v="1"/>
    <x v="12"/>
    <x v="2"/>
  </r>
  <r>
    <x v="2332"/>
    <x v="8"/>
    <x v="21"/>
    <n v="37.6"/>
    <n v="526.4"/>
    <x v="85"/>
    <d v="2025-03-29T00:00:00"/>
    <x v="1"/>
    <x v="1"/>
    <x v="0"/>
    <x v="0"/>
    <x v="3"/>
    <x v="1"/>
    <x v="12"/>
    <x v="1"/>
  </r>
  <r>
    <x v="2333"/>
    <x v="5"/>
    <x v="2"/>
    <n v="36.6"/>
    <n v="109.80000000000001"/>
    <x v="85"/>
    <d v="2025-03-29T00:00:00"/>
    <x v="2"/>
    <x v="4"/>
    <x v="0"/>
    <x v="0"/>
    <x v="3"/>
    <x v="1"/>
    <x v="12"/>
    <x v="2"/>
  </r>
  <r>
    <x v="2334"/>
    <x v="13"/>
    <x v="0"/>
    <n v="55.2"/>
    <n v="55.2"/>
    <x v="85"/>
    <d v="2025-03-29T00:00:00"/>
    <x v="1"/>
    <x v="3"/>
    <x v="0"/>
    <x v="0"/>
    <x v="3"/>
    <x v="1"/>
    <x v="12"/>
    <x v="1"/>
  </r>
  <r>
    <x v="2335"/>
    <x v="6"/>
    <x v="9"/>
    <n v="59.9"/>
    <n v="299.5"/>
    <x v="85"/>
    <d v="2025-03-29T00:00:00"/>
    <x v="1"/>
    <x v="0"/>
    <x v="0"/>
    <x v="0"/>
    <x v="3"/>
    <x v="1"/>
    <x v="12"/>
    <x v="1"/>
  </r>
  <r>
    <x v="2336"/>
    <x v="6"/>
    <x v="0"/>
    <n v="44"/>
    <n v="44"/>
    <x v="85"/>
    <d v="2025-03-28T00:00:00"/>
    <x v="2"/>
    <x v="2"/>
    <x v="2"/>
    <x v="0"/>
    <x v="3"/>
    <x v="3"/>
    <x v="12"/>
    <x v="2"/>
  </r>
  <r>
    <x v="2337"/>
    <x v="9"/>
    <x v="1"/>
    <n v="68.7"/>
    <n v="137.4"/>
    <x v="85"/>
    <d v="2025-03-27T00:00:00"/>
    <x v="1"/>
    <x v="0"/>
    <x v="0"/>
    <x v="0"/>
    <x v="3"/>
    <x v="7"/>
    <x v="12"/>
    <x v="1"/>
  </r>
  <r>
    <x v="2338"/>
    <x v="5"/>
    <x v="1"/>
    <n v="61.6"/>
    <n v="123.2"/>
    <x v="85"/>
    <d v="2025-03-31T00:00:00"/>
    <x v="1"/>
    <x v="3"/>
    <x v="1"/>
    <x v="0"/>
    <x v="3"/>
    <x v="5"/>
    <x v="12"/>
    <x v="1"/>
  </r>
  <r>
    <x v="2339"/>
    <x v="7"/>
    <x v="3"/>
    <n v="51.8"/>
    <n v="362.59999999999997"/>
    <x v="85"/>
    <d v="2025-03-28T00:00:00"/>
    <x v="1"/>
    <x v="0"/>
    <x v="0"/>
    <x v="0"/>
    <x v="3"/>
    <x v="3"/>
    <x v="12"/>
    <x v="1"/>
  </r>
  <r>
    <x v="2340"/>
    <x v="8"/>
    <x v="7"/>
    <n v="46.2"/>
    <n v="462"/>
    <x v="85"/>
    <d v="2025-03-29T00:00:00"/>
    <x v="1"/>
    <x v="1"/>
    <x v="2"/>
    <x v="0"/>
    <x v="3"/>
    <x v="1"/>
    <x v="12"/>
    <x v="1"/>
  </r>
  <r>
    <x v="2341"/>
    <x v="0"/>
    <x v="1"/>
    <n v="19.399999999999999"/>
    <n v="38.799999999999997"/>
    <x v="85"/>
    <d v="2025-03-29T00:00:00"/>
    <x v="2"/>
    <x v="1"/>
    <x v="2"/>
    <x v="0"/>
    <x v="6"/>
    <x v="1"/>
    <x v="12"/>
    <x v="2"/>
  </r>
  <r>
    <x v="2342"/>
    <x v="11"/>
    <x v="2"/>
    <n v="52.1"/>
    <n v="156.30000000000001"/>
    <x v="85"/>
    <d v="2025-03-30T00:00:00"/>
    <x v="1"/>
    <x v="3"/>
    <x v="3"/>
    <x v="0"/>
    <x v="6"/>
    <x v="2"/>
    <x v="12"/>
    <x v="1"/>
  </r>
  <r>
    <x v="2343"/>
    <x v="6"/>
    <x v="0"/>
    <n v="74.900000000000006"/>
    <n v="74.900000000000006"/>
    <x v="85"/>
    <d v="2025-03-29T00:00:00"/>
    <x v="3"/>
    <x v="0"/>
    <x v="0"/>
    <x v="0"/>
    <x v="7"/>
    <x v="1"/>
    <x v="12"/>
    <x v="3"/>
  </r>
  <r>
    <x v="2344"/>
    <x v="9"/>
    <x v="3"/>
    <n v="49.6"/>
    <n v="347.2"/>
    <x v="85"/>
    <d v="2025-03-30T00:00:00"/>
    <x v="2"/>
    <x v="4"/>
    <x v="0"/>
    <x v="0"/>
    <x v="8"/>
    <x v="2"/>
    <x v="12"/>
    <x v="2"/>
  </r>
  <r>
    <x v="2345"/>
    <x v="16"/>
    <x v="12"/>
    <n v="82.8"/>
    <n v="331.2"/>
    <x v="86"/>
    <d v="2025-03-31T00:00:00"/>
    <x v="2"/>
    <x v="4"/>
    <x v="0"/>
    <x v="0"/>
    <x v="8"/>
    <x v="2"/>
    <x v="12"/>
    <x v="2"/>
  </r>
  <r>
    <x v="2346"/>
    <x v="2"/>
    <x v="0"/>
    <n v="97.7"/>
    <n v="97.7"/>
    <x v="86"/>
    <d v="2025-03-29T00:00:00"/>
    <x v="2"/>
    <x v="1"/>
    <x v="0"/>
    <x v="0"/>
    <x v="8"/>
    <x v="3"/>
    <x v="12"/>
    <x v="2"/>
  </r>
  <r>
    <x v="2347"/>
    <x v="6"/>
    <x v="9"/>
    <n v="83.6"/>
    <n v="418"/>
    <x v="86"/>
    <d v="2025-03-29T00:00:00"/>
    <x v="2"/>
    <x v="4"/>
    <x v="0"/>
    <x v="0"/>
    <x v="8"/>
    <x v="3"/>
    <x v="12"/>
    <x v="2"/>
  </r>
  <r>
    <x v="2348"/>
    <x v="8"/>
    <x v="9"/>
    <n v="23.5"/>
    <n v="117.5"/>
    <x v="86"/>
    <d v="2025-04-01T00:00:00"/>
    <x v="3"/>
    <x v="0"/>
    <x v="0"/>
    <x v="0"/>
    <x v="8"/>
    <x v="5"/>
    <x v="12"/>
    <x v="3"/>
  </r>
  <r>
    <x v="2349"/>
    <x v="9"/>
    <x v="2"/>
    <n v="44.6"/>
    <n v="133.80000000000001"/>
    <x v="86"/>
    <d v="2025-03-31T00:00:00"/>
    <x v="2"/>
    <x v="4"/>
    <x v="1"/>
    <x v="0"/>
    <x v="26"/>
    <x v="2"/>
    <x v="12"/>
    <x v="2"/>
  </r>
  <r>
    <x v="2350"/>
    <x v="0"/>
    <x v="2"/>
    <n v="20.100000000000001"/>
    <n v="60.300000000000004"/>
    <x v="86"/>
    <d v="2025-03-30T00:00:00"/>
    <x v="2"/>
    <x v="3"/>
    <x v="4"/>
    <x v="0"/>
    <x v="11"/>
    <x v="1"/>
    <x v="12"/>
    <x v="2"/>
  </r>
  <r>
    <x v="2351"/>
    <x v="2"/>
    <x v="9"/>
    <n v="153.6"/>
    <n v="768"/>
    <x v="86"/>
    <d v="2025-03-29T00:00:00"/>
    <x v="2"/>
    <x v="1"/>
    <x v="2"/>
    <x v="0"/>
    <x v="53"/>
    <x v="3"/>
    <x v="12"/>
    <x v="2"/>
  </r>
  <r>
    <x v="2352"/>
    <x v="1"/>
    <x v="1"/>
    <n v="71.8"/>
    <n v="143.6"/>
    <x v="86"/>
    <d v="2025-04-01T00:00:00"/>
    <x v="2"/>
    <x v="1"/>
    <x v="0"/>
    <x v="0"/>
    <x v="1"/>
    <x v="5"/>
    <x v="12"/>
    <x v="2"/>
  </r>
  <r>
    <x v="2353"/>
    <x v="10"/>
    <x v="0"/>
    <n v="64.7"/>
    <n v="64.7"/>
    <x v="86"/>
    <d v="2025-03-30T00:00:00"/>
    <x v="0"/>
    <x v="0"/>
    <x v="1"/>
    <x v="0"/>
    <x v="1"/>
    <x v="1"/>
    <x v="12"/>
    <x v="0"/>
  </r>
  <r>
    <x v="2354"/>
    <x v="9"/>
    <x v="8"/>
    <n v="60.4"/>
    <n v="483.2"/>
    <x v="86"/>
    <d v="2025-03-30T00:00:00"/>
    <x v="2"/>
    <x v="3"/>
    <x v="2"/>
    <x v="0"/>
    <x v="2"/>
    <x v="1"/>
    <x v="12"/>
    <x v="2"/>
  </r>
  <r>
    <x v="2355"/>
    <x v="6"/>
    <x v="12"/>
    <n v="86"/>
    <n v="344"/>
    <x v="86"/>
    <d v="2025-03-31T00:00:00"/>
    <x v="2"/>
    <x v="2"/>
    <x v="2"/>
    <x v="0"/>
    <x v="22"/>
    <x v="2"/>
    <x v="12"/>
    <x v="2"/>
  </r>
  <r>
    <x v="2356"/>
    <x v="12"/>
    <x v="1"/>
    <n v="42.1"/>
    <n v="84.2"/>
    <x v="86"/>
    <d v="2025-03-29T00:00:00"/>
    <x v="2"/>
    <x v="4"/>
    <x v="1"/>
    <x v="0"/>
    <x v="34"/>
    <x v="3"/>
    <x v="12"/>
    <x v="2"/>
  </r>
  <r>
    <x v="2357"/>
    <x v="16"/>
    <x v="11"/>
    <n v="51.1"/>
    <n v="459.90000000000003"/>
    <x v="86"/>
    <d v="2025-03-29T00:00:00"/>
    <x v="1"/>
    <x v="2"/>
    <x v="1"/>
    <x v="0"/>
    <x v="3"/>
    <x v="3"/>
    <x v="12"/>
    <x v="1"/>
  </r>
  <r>
    <x v="2358"/>
    <x v="9"/>
    <x v="12"/>
    <n v="73.8"/>
    <n v="295.2"/>
    <x v="86"/>
    <d v="2025-03-29T00:00:00"/>
    <x v="1"/>
    <x v="4"/>
    <x v="0"/>
    <x v="0"/>
    <x v="3"/>
    <x v="3"/>
    <x v="12"/>
    <x v="1"/>
  </r>
  <r>
    <x v="2359"/>
    <x v="8"/>
    <x v="9"/>
    <n v="27"/>
    <n v="135"/>
    <x v="86"/>
    <d v="2025-03-31T00:00:00"/>
    <x v="2"/>
    <x v="2"/>
    <x v="2"/>
    <x v="0"/>
    <x v="3"/>
    <x v="2"/>
    <x v="12"/>
    <x v="2"/>
  </r>
  <r>
    <x v="2360"/>
    <x v="8"/>
    <x v="13"/>
    <n v="60.1"/>
    <n v="360.6"/>
    <x v="86"/>
    <d v="2025-03-29T00:00:00"/>
    <x v="1"/>
    <x v="3"/>
    <x v="0"/>
    <x v="0"/>
    <x v="3"/>
    <x v="3"/>
    <x v="12"/>
    <x v="1"/>
  </r>
  <r>
    <x v="2361"/>
    <x v="2"/>
    <x v="3"/>
    <n v="94.1"/>
    <n v="658.69999999999993"/>
    <x v="86"/>
    <d v="2025-03-30T00:00:00"/>
    <x v="2"/>
    <x v="4"/>
    <x v="1"/>
    <x v="0"/>
    <x v="3"/>
    <x v="1"/>
    <x v="12"/>
    <x v="2"/>
  </r>
  <r>
    <x v="2362"/>
    <x v="2"/>
    <x v="1"/>
    <n v="124.1"/>
    <n v="248.2"/>
    <x v="86"/>
    <d v="2025-03-28T00:00:00"/>
    <x v="2"/>
    <x v="2"/>
    <x v="3"/>
    <x v="0"/>
    <x v="43"/>
    <x v="7"/>
    <x v="12"/>
    <x v="2"/>
  </r>
  <r>
    <x v="2363"/>
    <x v="8"/>
    <x v="12"/>
    <n v="16.899999999999999"/>
    <n v="67.599999999999994"/>
    <x v="86"/>
    <d v="2025-03-31T00:00:00"/>
    <x v="1"/>
    <x v="3"/>
    <x v="0"/>
    <x v="0"/>
    <x v="6"/>
    <x v="2"/>
    <x v="12"/>
    <x v="1"/>
  </r>
  <r>
    <x v="2364"/>
    <x v="1"/>
    <x v="0"/>
    <n v="36.9"/>
    <n v="36.9"/>
    <x v="86"/>
    <d v="2025-03-29T00:00:00"/>
    <x v="1"/>
    <x v="0"/>
    <x v="0"/>
    <x v="0"/>
    <x v="6"/>
    <x v="3"/>
    <x v="12"/>
    <x v="1"/>
  </r>
  <r>
    <x v="2365"/>
    <x v="9"/>
    <x v="1"/>
    <n v="22.6"/>
    <n v="45.2"/>
    <x v="86"/>
    <d v="2025-04-10T00:00:00"/>
    <x v="2"/>
    <x v="2"/>
    <x v="1"/>
    <x v="0"/>
    <x v="8"/>
    <x v="10"/>
    <x v="12"/>
    <x v="2"/>
  </r>
  <r>
    <x v="2366"/>
    <x v="7"/>
    <x v="12"/>
    <n v="35"/>
    <n v="140"/>
    <x v="86"/>
    <d v="2025-04-02T00:00:00"/>
    <x v="1"/>
    <x v="3"/>
    <x v="1"/>
    <x v="0"/>
    <x v="8"/>
    <x v="0"/>
    <x v="12"/>
    <x v="1"/>
  </r>
  <r>
    <x v="2367"/>
    <x v="9"/>
    <x v="13"/>
    <n v="63.6"/>
    <n v="381.6"/>
    <x v="86"/>
    <d v="2025-04-04T00:00:00"/>
    <x v="0"/>
    <x v="1"/>
    <x v="2"/>
    <x v="0"/>
    <x v="8"/>
    <x v="6"/>
    <x v="12"/>
    <x v="0"/>
  </r>
  <r>
    <x v="2368"/>
    <x v="15"/>
    <x v="12"/>
    <n v="78.599999999999994"/>
    <n v="314.39999999999998"/>
    <x v="86"/>
    <d v="2025-03-29T00:00:00"/>
    <x v="1"/>
    <x v="4"/>
    <x v="1"/>
    <x v="0"/>
    <x v="8"/>
    <x v="3"/>
    <x v="12"/>
    <x v="1"/>
  </r>
  <r>
    <x v="2369"/>
    <x v="3"/>
    <x v="1"/>
    <n v="38.5"/>
    <n v="77"/>
    <x v="86"/>
    <d v="2025-03-29T00:00:00"/>
    <x v="1"/>
    <x v="0"/>
    <x v="2"/>
    <x v="0"/>
    <x v="8"/>
    <x v="3"/>
    <x v="12"/>
    <x v="1"/>
  </r>
  <r>
    <x v="2370"/>
    <x v="8"/>
    <x v="5"/>
    <n v="71.5"/>
    <n v="786.5"/>
    <x v="86"/>
    <d v="2025-03-29T00:00:00"/>
    <x v="2"/>
    <x v="1"/>
    <x v="4"/>
    <x v="0"/>
    <x v="8"/>
    <x v="3"/>
    <x v="12"/>
    <x v="2"/>
  </r>
  <r>
    <x v="2371"/>
    <x v="6"/>
    <x v="12"/>
    <n v="121.4"/>
    <n v="485.6"/>
    <x v="86"/>
    <d v="2025-04-01T00:00:00"/>
    <x v="1"/>
    <x v="1"/>
    <x v="2"/>
    <x v="0"/>
    <x v="17"/>
    <x v="5"/>
    <x v="12"/>
    <x v="1"/>
  </r>
  <r>
    <x v="2372"/>
    <x v="11"/>
    <x v="0"/>
    <n v="40.200000000000003"/>
    <n v="40.200000000000003"/>
    <x v="86"/>
    <d v="2025-03-31T00:00:00"/>
    <x v="2"/>
    <x v="0"/>
    <x v="2"/>
    <x v="0"/>
    <x v="11"/>
    <x v="2"/>
    <x v="12"/>
    <x v="2"/>
  </r>
  <r>
    <x v="2373"/>
    <x v="5"/>
    <x v="9"/>
    <n v="31.9"/>
    <n v="159.5"/>
    <x v="86"/>
    <d v="2025-03-30T00:00:00"/>
    <x v="2"/>
    <x v="2"/>
    <x v="2"/>
    <x v="0"/>
    <x v="28"/>
    <x v="1"/>
    <x v="12"/>
    <x v="2"/>
  </r>
  <r>
    <x v="2374"/>
    <x v="14"/>
    <x v="9"/>
    <n v="15.8"/>
    <n v="79"/>
    <x v="87"/>
    <d v="2025-03-30T00:00:00"/>
    <x v="1"/>
    <x v="3"/>
    <x v="2"/>
    <x v="0"/>
    <x v="21"/>
    <x v="3"/>
    <x v="12"/>
    <x v="1"/>
  </r>
  <r>
    <x v="2375"/>
    <x v="10"/>
    <x v="1"/>
    <n v="25.1"/>
    <n v="50.2"/>
    <x v="87"/>
    <d v="2025-03-31T00:00:00"/>
    <x v="0"/>
    <x v="1"/>
    <x v="0"/>
    <x v="0"/>
    <x v="21"/>
    <x v="1"/>
    <x v="12"/>
    <x v="0"/>
  </r>
  <r>
    <x v="2376"/>
    <x v="1"/>
    <x v="44"/>
    <n v="38.1"/>
    <n v="876.30000000000007"/>
    <x v="87"/>
    <d v="2025-03-30T00:00:00"/>
    <x v="2"/>
    <x v="4"/>
    <x v="0"/>
    <x v="0"/>
    <x v="1"/>
    <x v="3"/>
    <x v="12"/>
    <x v="2"/>
  </r>
  <r>
    <x v="2377"/>
    <x v="3"/>
    <x v="1"/>
    <n v="42.2"/>
    <n v="84.4"/>
    <x v="87"/>
    <d v="2025-03-31T00:00:00"/>
    <x v="2"/>
    <x v="0"/>
    <x v="2"/>
    <x v="0"/>
    <x v="1"/>
    <x v="1"/>
    <x v="12"/>
    <x v="2"/>
  </r>
  <r>
    <x v="2378"/>
    <x v="0"/>
    <x v="7"/>
    <n v="12.3"/>
    <n v="123"/>
    <x v="87"/>
    <d v="2025-03-30T00:00:00"/>
    <x v="2"/>
    <x v="4"/>
    <x v="0"/>
    <x v="0"/>
    <x v="2"/>
    <x v="3"/>
    <x v="12"/>
    <x v="2"/>
  </r>
  <r>
    <x v="2379"/>
    <x v="7"/>
    <x v="0"/>
    <n v="30.2"/>
    <n v="30.2"/>
    <x v="87"/>
    <d v="2025-03-31T00:00:00"/>
    <x v="2"/>
    <x v="1"/>
    <x v="2"/>
    <x v="0"/>
    <x v="34"/>
    <x v="1"/>
    <x v="12"/>
    <x v="2"/>
  </r>
  <r>
    <x v="2380"/>
    <x v="5"/>
    <x v="2"/>
    <n v="25.3"/>
    <n v="75.900000000000006"/>
    <x v="87"/>
    <d v="2025-04-01T00:00:00"/>
    <x v="2"/>
    <x v="2"/>
    <x v="0"/>
    <x v="0"/>
    <x v="3"/>
    <x v="2"/>
    <x v="12"/>
    <x v="2"/>
  </r>
  <r>
    <x v="2381"/>
    <x v="8"/>
    <x v="9"/>
    <n v="29.7"/>
    <n v="148.5"/>
    <x v="87"/>
    <d v="2025-03-31T00:00:00"/>
    <x v="1"/>
    <x v="3"/>
    <x v="0"/>
    <x v="0"/>
    <x v="3"/>
    <x v="1"/>
    <x v="12"/>
    <x v="1"/>
  </r>
  <r>
    <x v="2382"/>
    <x v="9"/>
    <x v="8"/>
    <n v="32.9"/>
    <n v="263.2"/>
    <x v="87"/>
    <d v="2025-03-30T00:00:00"/>
    <x v="0"/>
    <x v="3"/>
    <x v="2"/>
    <x v="0"/>
    <x v="3"/>
    <x v="3"/>
    <x v="12"/>
    <x v="0"/>
  </r>
  <r>
    <x v="2383"/>
    <x v="10"/>
    <x v="1"/>
    <n v="43.6"/>
    <n v="87.2"/>
    <x v="87"/>
    <d v="2025-03-30T00:00:00"/>
    <x v="1"/>
    <x v="1"/>
    <x v="2"/>
    <x v="0"/>
    <x v="3"/>
    <x v="3"/>
    <x v="12"/>
    <x v="1"/>
  </r>
  <r>
    <x v="2384"/>
    <x v="15"/>
    <x v="12"/>
    <n v="78.400000000000006"/>
    <n v="313.60000000000002"/>
    <x v="87"/>
    <d v="2025-03-30T00:00:00"/>
    <x v="1"/>
    <x v="2"/>
    <x v="0"/>
    <x v="0"/>
    <x v="3"/>
    <x v="3"/>
    <x v="12"/>
    <x v="1"/>
  </r>
  <r>
    <x v="2385"/>
    <x v="6"/>
    <x v="1"/>
    <n v="56.5"/>
    <n v="113"/>
    <x v="87"/>
    <d v="2025-04-02T00:00:00"/>
    <x v="1"/>
    <x v="1"/>
    <x v="1"/>
    <x v="0"/>
    <x v="3"/>
    <x v="5"/>
    <x v="12"/>
    <x v="1"/>
  </r>
  <r>
    <x v="2386"/>
    <x v="16"/>
    <x v="0"/>
    <n v="36.700000000000003"/>
    <n v="36.700000000000003"/>
    <x v="87"/>
    <d v="2025-03-30T00:00:00"/>
    <x v="2"/>
    <x v="0"/>
    <x v="2"/>
    <x v="0"/>
    <x v="3"/>
    <x v="3"/>
    <x v="12"/>
    <x v="2"/>
  </r>
  <r>
    <x v="2387"/>
    <x v="2"/>
    <x v="12"/>
    <n v="103.6"/>
    <n v="414.4"/>
    <x v="87"/>
    <d v="2025-04-09T00:00:00"/>
    <x v="1"/>
    <x v="4"/>
    <x v="2"/>
    <x v="0"/>
    <x v="3"/>
    <x v="11"/>
    <x v="12"/>
    <x v="1"/>
  </r>
  <r>
    <x v="2388"/>
    <x v="8"/>
    <x v="13"/>
    <n v="16.2"/>
    <n v="97.199999999999989"/>
    <x v="87"/>
    <d v="2025-04-02T00:00:00"/>
    <x v="1"/>
    <x v="1"/>
    <x v="2"/>
    <x v="0"/>
    <x v="6"/>
    <x v="5"/>
    <x v="12"/>
    <x v="1"/>
  </r>
  <r>
    <x v="2389"/>
    <x v="8"/>
    <x v="1"/>
    <n v="20.2"/>
    <n v="40.4"/>
    <x v="87"/>
    <d v="2025-03-30T00:00:00"/>
    <x v="2"/>
    <x v="0"/>
    <x v="0"/>
    <x v="0"/>
    <x v="6"/>
    <x v="3"/>
    <x v="12"/>
    <x v="2"/>
  </r>
  <r>
    <x v="2390"/>
    <x v="11"/>
    <x v="1"/>
    <n v="26.9"/>
    <n v="53.8"/>
    <x v="87"/>
    <d v="2025-03-31T00:00:00"/>
    <x v="2"/>
    <x v="2"/>
    <x v="0"/>
    <x v="0"/>
    <x v="6"/>
    <x v="1"/>
    <x v="12"/>
    <x v="2"/>
  </r>
  <r>
    <x v="2391"/>
    <x v="1"/>
    <x v="1"/>
    <n v="82.4"/>
    <n v="164.8"/>
    <x v="87"/>
    <d v="2025-04-01T00:00:00"/>
    <x v="0"/>
    <x v="0"/>
    <x v="0"/>
    <x v="0"/>
    <x v="7"/>
    <x v="2"/>
    <x v="12"/>
    <x v="0"/>
  </r>
  <r>
    <x v="2392"/>
    <x v="2"/>
    <x v="1"/>
    <n v="117.8"/>
    <n v="235.6"/>
    <x v="87"/>
    <d v="2025-03-31T00:00:00"/>
    <x v="1"/>
    <x v="1"/>
    <x v="2"/>
    <x v="0"/>
    <x v="8"/>
    <x v="1"/>
    <x v="12"/>
    <x v="1"/>
  </r>
  <r>
    <x v="2393"/>
    <x v="11"/>
    <x v="12"/>
    <n v="36.700000000000003"/>
    <n v="146.80000000000001"/>
    <x v="87"/>
    <d v="2025-03-30T00:00:00"/>
    <x v="1"/>
    <x v="1"/>
    <x v="0"/>
    <x v="0"/>
    <x v="8"/>
    <x v="3"/>
    <x v="12"/>
    <x v="1"/>
  </r>
  <r>
    <x v="2394"/>
    <x v="17"/>
    <x v="2"/>
    <n v="46.8"/>
    <n v="140.39999999999998"/>
    <x v="87"/>
    <d v="2025-03-30T00:00:00"/>
    <x v="1"/>
    <x v="4"/>
    <x v="2"/>
    <x v="0"/>
    <x v="10"/>
    <x v="3"/>
    <x v="12"/>
    <x v="1"/>
  </r>
  <r>
    <x v="2395"/>
    <x v="3"/>
    <x v="0"/>
    <n v="61.4"/>
    <n v="61.4"/>
    <x v="87"/>
    <d v="2025-03-30T00:00:00"/>
    <x v="1"/>
    <x v="1"/>
    <x v="0"/>
    <x v="0"/>
    <x v="10"/>
    <x v="3"/>
    <x v="12"/>
    <x v="1"/>
  </r>
  <r>
    <x v="2396"/>
    <x v="15"/>
    <x v="1"/>
    <n v="22.9"/>
    <n v="45.8"/>
    <x v="87"/>
    <d v="2025-03-30T00:00:00"/>
    <x v="1"/>
    <x v="0"/>
    <x v="0"/>
    <x v="0"/>
    <x v="11"/>
    <x v="3"/>
    <x v="12"/>
    <x v="1"/>
  </r>
  <r>
    <x v="2397"/>
    <x v="10"/>
    <x v="1"/>
    <n v="22.1"/>
    <n v="44.2"/>
    <x v="87"/>
    <d v="2025-03-30T00:00:00"/>
    <x v="2"/>
    <x v="4"/>
    <x v="0"/>
    <x v="0"/>
    <x v="11"/>
    <x v="3"/>
    <x v="12"/>
    <x v="2"/>
  </r>
  <r>
    <x v="2398"/>
    <x v="12"/>
    <x v="1"/>
    <n v="31"/>
    <n v="62"/>
    <x v="87"/>
    <d v="2025-03-31T00:00:00"/>
    <x v="2"/>
    <x v="2"/>
    <x v="0"/>
    <x v="0"/>
    <x v="18"/>
    <x v="1"/>
    <x v="12"/>
    <x v="2"/>
  </r>
  <r>
    <x v="2399"/>
    <x v="18"/>
    <x v="1"/>
    <n v="84.2"/>
    <n v="168.4"/>
    <x v="87"/>
    <d v="2025-03-31T00:00:00"/>
    <x v="1"/>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FC450B-0CFF-4511-9E0A-E1940F118C19}" name="PivotTable10"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E2" firstHeaderRow="0" firstDataRow="1" firstDataCol="0"/>
  <pivotFields count="18">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dataField="1" showAll="0"/>
    <pivotField showAll="0"/>
    <pivotField showAll="0"/>
    <pivotField dataField="1" showAll="0">
      <items count="16">
        <item x="7"/>
        <item x="3"/>
        <item x="1"/>
        <item x="2"/>
        <item x="5"/>
        <item x="0"/>
        <item x="4"/>
        <item x="6"/>
        <item x="9"/>
        <item x="8"/>
        <item x="14"/>
        <item x="11"/>
        <item x="13"/>
        <item x="10"/>
        <item x="12"/>
        <item t="default"/>
      </items>
    </pivotField>
    <pivotField showAll="0"/>
    <pivotField showAll="0">
      <items count="5">
        <item x="2"/>
        <item h="1" x="1"/>
        <item h="1" x="3"/>
        <item h="1"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8">
        <item x="0"/>
        <item x="1"/>
        <item x="2"/>
        <item x="4"/>
        <item x="3"/>
        <item x="5"/>
        <item x="6"/>
        <item t="default"/>
      </items>
    </pivotField>
  </pivotFields>
  <rowItems count="1">
    <i/>
  </rowItems>
  <colFields count="1">
    <field x="-2"/>
  </colFields>
  <colItems count="5">
    <i>
      <x/>
    </i>
    <i i="1">
      <x v="1"/>
    </i>
    <i i="2">
      <x v="2"/>
    </i>
    <i i="3">
      <x v="3"/>
    </i>
    <i i="4">
      <x v="4"/>
    </i>
  </colItems>
  <dataFields count="5">
    <dataField name="Sum of Quantity" fld="2" baseField="0" baseItem="0"/>
    <dataField name="Count of TX ID" fld="0" subtotal="count"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F685AE-C2AE-4EC5-BBB1-9D7DFF08EEEB}" name="PivotTable9"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N4:P18" firstHeaderRow="0" firstDataRow="1" firstDataCol="1"/>
  <pivotFields count="18">
    <pivotField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showAll="0">
      <items count="16">
        <item x="7"/>
        <item x="3"/>
        <item x="1"/>
        <item x="2"/>
        <item x="5"/>
        <item x="0"/>
        <item x="4"/>
        <item x="6"/>
        <item x="9"/>
        <item x="8"/>
        <item x="14"/>
        <item x="11"/>
        <item x="13"/>
        <item x="10"/>
        <item x="12"/>
        <item t="default"/>
      </items>
    </pivotField>
    <pivotField axis="axisRow" showAll="0">
      <items count="14">
        <item x="0"/>
        <item x="1"/>
        <item x="2"/>
        <item x="3"/>
        <item x="4"/>
        <item x="5"/>
        <item x="6"/>
        <item x="7"/>
        <item x="8"/>
        <item x="9"/>
        <item x="10"/>
        <item x="11"/>
        <item x="12"/>
        <item t="default"/>
      </items>
    </pivotField>
    <pivotField showAll="0">
      <items count="5">
        <item x="2"/>
        <item h="1" x="1"/>
        <item h="1" x="3"/>
        <item h="1"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8">
        <item x="0"/>
        <item x="1"/>
        <item x="2"/>
        <item x="4"/>
        <item x="3"/>
        <item x="5"/>
        <item x="6"/>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4"/>
  </dataFields>
  <chartFormats count="2">
    <chartFormat chart="21"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2EF092-541E-480E-9DBD-F20FB5E1D458}"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4:B45" firstHeaderRow="1" firstDataRow="1" firstDataCol="1"/>
  <pivotFields count="18">
    <pivotField dataField="1" showAll="0"/>
    <pivotField showAll="0">
      <items count="21">
        <item x="14"/>
        <item x="10"/>
        <item x="12"/>
        <item x="15"/>
        <item x="4"/>
        <item x="7"/>
        <item x="6"/>
        <item x="19"/>
        <item x="18"/>
        <item x="11"/>
        <item x="17"/>
        <item x="5"/>
        <item x="0"/>
        <item x="2"/>
        <item x="9"/>
        <item x="16"/>
        <item x="1"/>
        <item x="13"/>
        <item x="8"/>
        <item x="3"/>
        <item t="default"/>
      </items>
    </pivotField>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h="1" x="1"/>
        <item h="1" x="3"/>
        <item h="1" x="0"/>
        <item t="default"/>
      </items>
    </pivotField>
    <pivotField showAll="0" defaultSubtotal="0"/>
    <pivotField showAll="0" defaultSubtotal="0">
      <items count="14">
        <item x="0"/>
        <item x="1"/>
        <item x="2"/>
        <item x="3"/>
        <item x="4"/>
        <item x="5"/>
        <item x="6"/>
        <item x="7"/>
        <item x="8"/>
        <item x="9"/>
        <item x="10"/>
        <item x="11"/>
        <item x="12"/>
        <item x="13"/>
      </items>
    </pivotField>
    <pivotField showAll="0" defaultSubtotal="0">
      <items count="7">
        <item x="0"/>
        <item x="1"/>
        <item x="2"/>
        <item x="3"/>
        <item x="4"/>
        <item x="5"/>
        <item x="6"/>
      </items>
    </pivotField>
  </pivotFields>
  <rowFields count="1">
    <field x="12"/>
  </rowFields>
  <rowItems count="11">
    <i>
      <x/>
    </i>
    <i>
      <x v="1"/>
    </i>
    <i>
      <x v="2"/>
    </i>
    <i>
      <x v="3"/>
    </i>
    <i>
      <x v="4"/>
    </i>
    <i>
      <x v="5"/>
    </i>
    <i>
      <x v="6"/>
    </i>
    <i>
      <x v="7"/>
    </i>
    <i>
      <x v="8"/>
    </i>
    <i>
      <x v="13"/>
    </i>
    <i t="grand">
      <x/>
    </i>
  </rowItems>
  <colItems count="1">
    <i/>
  </colItems>
  <dataFields count="1">
    <dataField name="Count of TX ID" fld="0" subtotal="count" baseField="0" baseItem="0"/>
  </dataFields>
  <chartFormats count="1">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E847CF-B539-464A-A21D-9B00B8737F90}"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26:K46" firstHeaderRow="1" firstDataRow="2" firstDataCol="1"/>
  <pivotFields count="18">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showAll="0"/>
    <pivotField showAll="0"/>
    <pivotField axis="axisCol" showAll="0">
      <items count="5">
        <item x="2"/>
        <item h="1" x="1"/>
        <item h="1" x="3"/>
        <item h="1" x="0"/>
        <item t="default"/>
      </items>
    </pivotField>
    <pivotField showAll="0" defaultSubtotal="0"/>
    <pivotField showAll="0" defaultSubtotal="0">
      <items count="14">
        <item x="0"/>
        <item x="1"/>
        <item x="2"/>
        <item x="3"/>
        <item x="4"/>
        <item x="5"/>
        <item x="6"/>
        <item x="7"/>
        <item x="8"/>
        <item x="9"/>
        <item x="10"/>
        <item x="11"/>
        <item x="12"/>
        <item x="13"/>
      </items>
    </pivotField>
    <pivotField showAll="0" defaultSubtotal="0">
      <items count="7">
        <item x="0"/>
        <item x="1"/>
        <item x="2"/>
        <item x="3"/>
        <item x="4"/>
        <item x="5"/>
        <item x="6"/>
      </items>
    </pivotField>
  </pivotFields>
  <rowFields count="1">
    <field x="1"/>
  </rowFields>
  <rowItems count="19">
    <i>
      <x v="18"/>
    </i>
    <i>
      <x v="1"/>
    </i>
    <i>
      <x v="14"/>
    </i>
    <i>
      <x v="12"/>
    </i>
    <i>
      <x v="4"/>
    </i>
    <i>
      <x v="16"/>
    </i>
    <i>
      <x v="6"/>
    </i>
    <i>
      <x v="11"/>
    </i>
    <i>
      <x v="9"/>
    </i>
    <i>
      <x v="13"/>
    </i>
    <i>
      <x v="3"/>
    </i>
    <i>
      <x v="2"/>
    </i>
    <i>
      <x v="5"/>
    </i>
    <i>
      <x v="19"/>
    </i>
    <i>
      <x v="8"/>
    </i>
    <i>
      <x v="15"/>
    </i>
    <i>
      <x v="10"/>
    </i>
    <i>
      <x/>
    </i>
    <i t="grand">
      <x/>
    </i>
  </rowItems>
  <colFields count="1">
    <field x="14"/>
  </colFields>
  <colItems count="2">
    <i>
      <x/>
    </i>
    <i t="grand">
      <x/>
    </i>
  </colItems>
  <dataFields count="1">
    <dataField name="Sum of Quantity" fld="2" baseField="0" baseItem="0"/>
  </dataFields>
  <chartFormats count="4">
    <chartFormat chart="4" format="8" series="1">
      <pivotArea type="data" outline="0" fieldPosition="0">
        <references count="2">
          <reference field="4294967294" count="1" selected="0">
            <x v="0"/>
          </reference>
          <reference field="14" count="1" selected="0">
            <x v="0"/>
          </reference>
        </references>
      </pivotArea>
    </chartFormat>
    <chartFormat chart="4" format="9" series="1">
      <pivotArea type="data" outline="0" fieldPosition="0">
        <references count="2">
          <reference field="4294967294" count="1" selected="0">
            <x v="0"/>
          </reference>
          <reference field="14" count="1" selected="0">
            <x v="1"/>
          </reference>
        </references>
      </pivotArea>
    </chartFormat>
    <chartFormat chart="4" format="10" series="1">
      <pivotArea type="data" outline="0" fieldPosition="0">
        <references count="2">
          <reference field="4294967294" count="1" selected="0">
            <x v="0"/>
          </reference>
          <reference field="14" count="1" selected="0">
            <x v="2"/>
          </reference>
        </references>
      </pivotArea>
    </chartFormat>
    <chartFormat chart="4"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0DE8E1-8ACA-41D5-9BCE-9E98B3911ABB}" name="PivotTable1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K22:K23" firstHeaderRow="1" firstDataRow="1" firstDataCol="0"/>
  <pivotFields count="18">
    <pivotField showAll="0"/>
    <pivotField showAll="0">
      <items count="21">
        <item x="14"/>
        <item x="10"/>
        <item x="12"/>
        <item x="15"/>
        <item x="4"/>
        <item x="7"/>
        <item x="6"/>
        <item x="19"/>
        <item x="18"/>
        <item x="11"/>
        <item x="17"/>
        <item x="5"/>
        <item x="0"/>
        <item x="2"/>
        <item x="9"/>
        <item x="16"/>
        <item x="1"/>
        <item x="13"/>
        <item x="8"/>
        <item x="3"/>
        <item t="default"/>
      </items>
    </pivotField>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pivotField showAll="0"/>
    <pivotField showAll="0"/>
    <pivotField showAll="0"/>
    <pivotField dataField="1" showAll="0"/>
    <pivotField showAll="0"/>
    <pivotField showAll="0">
      <items count="5">
        <item x="2"/>
        <item x="1"/>
        <item x="3"/>
        <item x="0"/>
        <item t="default"/>
      </items>
    </pivotField>
    <pivotField showAll="0" defaultSubtotal="0"/>
    <pivotField showAll="0" defaultSubtotal="0">
      <items count="14">
        <item x="0"/>
        <item x="1"/>
        <item x="2"/>
        <item x="3"/>
        <item x="4"/>
        <item x="5"/>
        <item x="6"/>
        <item x="7"/>
        <item x="8"/>
        <item x="9"/>
        <item x="10"/>
        <item x="11"/>
        <item x="12"/>
        <item x="13"/>
      </items>
    </pivotField>
    <pivotField showAll="0" defaultSubtotal="0">
      <items count="7">
        <item x="0"/>
        <item x="1"/>
        <item x="2"/>
        <item x="3"/>
        <item x="4"/>
        <item x="5"/>
        <item x="6"/>
      </items>
    </pivotField>
  </pivotFields>
  <rowItems count="1">
    <i/>
  </rowItems>
  <colItems count="1">
    <i/>
  </colItems>
  <dataFields count="1">
    <dataField name="Sum of Days to Delive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B9D071-231A-45CF-BA27-1523F415B75D}" name="PivotTable7"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I22:J24" firstHeaderRow="1" firstDataRow="1" firstDataCol="1"/>
  <pivotFields count="18">
    <pivotField showAll="0"/>
    <pivotField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pivotField showAll="0"/>
    <pivotField showAll="0"/>
    <pivotField showAll="0"/>
    <pivotField showAll="0"/>
    <pivotField showAll="0"/>
    <pivotField axis="axisRow" showAll="0">
      <items count="5">
        <item x="2"/>
        <item h="1" x="1"/>
        <item h="1" x="3"/>
        <item h="1" x="0"/>
        <item t="default"/>
      </items>
    </pivotField>
    <pivotField showAll="0" defaultSubtotal="0"/>
    <pivotField showAll="0" defaultSubtotal="0">
      <items count="14">
        <item x="0"/>
        <item x="1"/>
        <item x="2"/>
        <item x="3"/>
        <item x="4"/>
        <item x="5"/>
        <item x="6"/>
        <item x="7"/>
        <item x="8"/>
        <item x="9"/>
        <item x="10"/>
        <item x="11"/>
        <item x="12"/>
        <item x="13"/>
      </items>
    </pivotField>
    <pivotField showAll="0" defaultSubtotal="0">
      <items count="7">
        <item x="0"/>
        <item x="1"/>
        <item x="2"/>
        <item x="3"/>
        <item x="4"/>
        <item x="5"/>
        <item x="6"/>
      </items>
    </pivotField>
  </pivotFields>
  <rowFields count="1">
    <field x="14"/>
  </rowFields>
  <rowItems count="2">
    <i>
      <x/>
    </i>
    <i t="grand">
      <x/>
    </i>
  </rowItems>
  <colItems count="1">
    <i/>
  </colItems>
  <dataFields count="1">
    <dataField name="Sum of Quantity" fld="2" baseField="0" baseItem="0"/>
  </dataFields>
  <chartFormats count="13">
    <chartFormat chart="1" format="0" series="1">
      <pivotArea type="data" outline="0" fieldPosition="0">
        <references count="2">
          <reference field="4294967294" count="1" selected="0">
            <x v="0"/>
          </reference>
          <reference field="14" count="1" selected="0">
            <x v="0"/>
          </reference>
        </references>
      </pivotArea>
    </chartFormat>
    <chartFormat chart="1"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2"/>
          </reference>
        </references>
      </pivotArea>
    </chartFormat>
    <chartFormat chart="1" format="3" series="1">
      <pivotArea type="data" outline="0" fieldPosition="0">
        <references count="2">
          <reference field="4294967294" count="1" selected="0">
            <x v="0"/>
          </reference>
          <reference field="14" count="1" selected="0">
            <x v="3"/>
          </reference>
        </references>
      </pivotArea>
    </chartFormat>
    <chartFormat chart="4" format="8" series="1">
      <pivotArea type="data" outline="0" fieldPosition="0">
        <references count="2">
          <reference field="4294967294" count="1" selected="0">
            <x v="0"/>
          </reference>
          <reference field="14" count="1" selected="0">
            <x v="0"/>
          </reference>
        </references>
      </pivotArea>
    </chartFormat>
    <chartFormat chart="4" format="9" series="1">
      <pivotArea type="data" outline="0" fieldPosition="0">
        <references count="2">
          <reference field="4294967294" count="1" selected="0">
            <x v="0"/>
          </reference>
          <reference field="14" count="1" selected="0">
            <x v="1"/>
          </reference>
        </references>
      </pivotArea>
    </chartFormat>
    <chartFormat chart="4" format="10" series="1">
      <pivotArea type="data" outline="0" fieldPosition="0">
        <references count="2">
          <reference field="4294967294" count="1" selected="0">
            <x v="0"/>
          </reference>
          <reference field="14" count="1" selected="0">
            <x v="2"/>
          </reference>
        </references>
      </pivotArea>
    </chartFormat>
    <chartFormat chart="4" format="11" series="1">
      <pivotArea type="data" outline="0" fieldPosition="0">
        <references count="2">
          <reference field="4294967294" count="1" selected="0">
            <x v="0"/>
          </reference>
          <reference field="14" count="1" selected="0">
            <x v="3"/>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14" count="1" selected="0">
            <x v="0"/>
          </reference>
        </references>
      </pivotArea>
    </chartFormat>
    <chartFormat chart="12" format="8">
      <pivotArea type="data" outline="0" fieldPosition="0">
        <references count="2">
          <reference field="4294967294" count="1" selected="0">
            <x v="0"/>
          </reference>
          <reference field="14" count="1" selected="0">
            <x v="1"/>
          </reference>
        </references>
      </pivotArea>
    </chartFormat>
    <chartFormat chart="12" format="9">
      <pivotArea type="data" outline="0" fieldPosition="0">
        <references count="2">
          <reference field="4294967294" count="1" selected="0">
            <x v="0"/>
          </reference>
          <reference field="14" count="1" selected="0">
            <x v="2"/>
          </reference>
        </references>
      </pivotArea>
    </chartFormat>
    <chartFormat chart="12" format="10">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010FA0-E9BB-49B4-AE01-8CFA9E73E177}" name="PivotTable8" cacheId="1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3">
  <location ref="D21:G80" firstHeaderRow="0" firstDataRow="1" firstDataCol="2"/>
  <pivotFields count="18">
    <pivotField compact="0" outline="0" showAll="0" defaultSubtotal="0">
      <extLst>
        <ext xmlns:x14="http://schemas.microsoft.com/office/spreadsheetml/2009/9/main" uri="{2946ED86-A175-432a-8AC1-64E0C546D7DE}">
          <x14:pivotField fillDownLabels="1"/>
        </ext>
      </extLst>
    </pivotField>
    <pivotField compact="0" outline="0" showAll="0" sortType="descending" defaultSubtotal="0">
      <items count="20">
        <item x="14"/>
        <item x="10"/>
        <item x="12"/>
        <item x="15"/>
        <item x="4"/>
        <item x="7"/>
        <item x="6"/>
        <item x="19"/>
        <item x="18"/>
        <item x="11"/>
        <item x="17"/>
        <item x="5"/>
        <item x="0"/>
        <item x="2"/>
        <item x="9"/>
        <item x="16"/>
        <item x="1"/>
        <item x="13"/>
        <item x="8"/>
        <item x="3"/>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howAll="0" defaultSubtotal="0">
      <items count="7">
        <item x="0"/>
        <item x="1"/>
        <item x="2"/>
        <item x="3"/>
        <item x="4"/>
        <item x="5"/>
        <item x="6"/>
      </items>
      <extLst>
        <ext xmlns:x14="http://schemas.microsoft.com/office/spreadsheetml/2009/9/main" uri="{2946ED86-A175-432a-8AC1-64E0C546D7DE}">
          <x14:pivotField fillDownLabels="1"/>
        </ext>
      </extLst>
    </pivotField>
  </pivotFields>
  <rowFields count="2">
    <field x="10"/>
    <field x="11"/>
  </rowFields>
  <rowItems count="59">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i t="grand">
      <x/>
    </i>
  </rowItems>
  <colFields count="1">
    <field x="-2"/>
  </colFields>
  <colItems count="2">
    <i>
      <x/>
    </i>
    <i i="1">
      <x v="1"/>
    </i>
  </colItems>
  <dataFields count="2">
    <dataField name="Sum of Quantity" fld="2" baseField="0" baseItem="0"/>
    <dataField name="Sum of Amount" fld="4" baseField="0" baseItem="0"/>
  </dataFields>
  <chartFormats count="2">
    <chartFormat chart="7" format="0"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C4CDAF-7F85-46CC-AAC0-05621629F086}" name="PivotTable6"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13:J18" firstHeaderRow="1" firstDataRow="2" firstDataCol="1"/>
  <pivotFields count="18">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items count="5">
        <item x="0"/>
        <item x="2"/>
        <item x="1"/>
        <item x="3"/>
        <item t="default"/>
      </items>
    </pivotField>
    <pivotField showAll="0">
      <items count="6">
        <item h="1" x="0"/>
        <item x="3"/>
        <item h="1" x="4"/>
        <item h="1" x="2"/>
        <item h="1" x="1"/>
        <item t="default"/>
      </items>
    </pivotField>
    <pivotField axis="axisCol" showAll="0">
      <items count="6">
        <item x="3"/>
        <item x="4"/>
        <item x="1"/>
        <item x="0"/>
        <item x="2"/>
        <item t="default"/>
      </items>
    </pivotField>
    <pivotField showAll="0"/>
    <pivotField showAll="0"/>
    <pivotField showAll="0"/>
    <pivotField showAll="0"/>
    <pivotField showAll="0">
      <items count="5">
        <item x="2"/>
        <item h="1" x="1"/>
        <item h="1" x="3"/>
        <item h="1"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8">
        <item x="0"/>
        <item x="1"/>
        <item x="2"/>
        <item x="4"/>
        <item x="3"/>
        <item n="6to10" x="5"/>
        <item n="morethan10" x="6"/>
        <item t="default"/>
      </items>
    </pivotField>
  </pivotFields>
  <rowFields count="1">
    <field x="16"/>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17">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5" series="1">
      <pivotArea type="data" outline="0" fieldPosition="0">
        <references count="2">
          <reference field="4294967294" count="1" selected="0">
            <x v="0"/>
          </reference>
          <reference field="9" count="1" selected="0">
            <x v="0"/>
          </reference>
        </references>
      </pivotArea>
    </chartFormat>
    <chartFormat chart="9" format="6" series="1">
      <pivotArea type="data" outline="0" fieldPosition="0">
        <references count="2">
          <reference field="4294967294" count="1" selected="0">
            <x v="0"/>
          </reference>
          <reference field="9" count="1" selected="0">
            <x v="1"/>
          </reference>
        </references>
      </pivotArea>
    </chartFormat>
    <chartFormat chart="9" format="7" series="1">
      <pivotArea type="data" outline="0" fieldPosition="0">
        <references count="2">
          <reference field="4294967294" count="1" selected="0">
            <x v="0"/>
          </reference>
          <reference field="9" count="1" selected="0">
            <x v="2"/>
          </reference>
        </references>
      </pivotArea>
    </chartFormat>
    <chartFormat chart="9" format="8" series="1">
      <pivotArea type="data" outline="0" fieldPosition="0">
        <references count="2">
          <reference field="4294967294" count="1" selected="0">
            <x v="0"/>
          </reference>
          <reference field="9" count="1" selected="0">
            <x v="3"/>
          </reference>
        </references>
      </pivotArea>
    </chartFormat>
    <chartFormat chart="9" format="9" series="1">
      <pivotArea type="data" outline="0" fieldPosition="0">
        <references count="2">
          <reference field="4294967294" count="1" selected="0">
            <x v="0"/>
          </reference>
          <reference field="9" count="1" selected="0">
            <x v="4"/>
          </reference>
        </references>
      </pivotArea>
    </chartFormat>
    <chartFormat chart="10" format="10" series="1">
      <pivotArea type="data" outline="0" fieldPosition="0">
        <references count="2">
          <reference field="4294967294" count="1" selected="0">
            <x v="0"/>
          </reference>
          <reference field="9" count="1" selected="0">
            <x v="0"/>
          </reference>
        </references>
      </pivotArea>
    </chartFormat>
    <chartFormat chart="10" format="11" series="1">
      <pivotArea type="data" outline="0" fieldPosition="0">
        <references count="2">
          <reference field="4294967294" count="1" selected="0">
            <x v="0"/>
          </reference>
          <reference field="9" count="1" selected="0">
            <x v="1"/>
          </reference>
        </references>
      </pivotArea>
    </chartFormat>
    <chartFormat chart="10" format="12" series="1">
      <pivotArea type="data" outline="0" fieldPosition="0">
        <references count="2">
          <reference field="4294967294" count="1" selected="0">
            <x v="0"/>
          </reference>
          <reference field="9" count="1" selected="0">
            <x v="2"/>
          </reference>
        </references>
      </pivotArea>
    </chartFormat>
    <chartFormat chart="10" format="13" series="1">
      <pivotArea type="data" outline="0" fieldPosition="0">
        <references count="2">
          <reference field="4294967294" count="1" selected="0">
            <x v="0"/>
          </reference>
          <reference field="9" count="1" selected="0">
            <x v="3"/>
          </reference>
        </references>
      </pivotArea>
    </chartFormat>
    <chartFormat chart="10" format="14" series="1">
      <pivotArea type="data" outline="0" fieldPosition="0">
        <references count="2">
          <reference field="4294967294" count="1" selected="0">
            <x v="0"/>
          </reference>
          <reference field="9" count="1" selected="0">
            <x v="4"/>
          </reference>
        </references>
      </pivotArea>
    </chartFormat>
    <chartFormat chart="11" format="10" series="1">
      <pivotArea type="data" outline="0" fieldPosition="0">
        <references count="2">
          <reference field="4294967294" count="1" selected="0">
            <x v="0"/>
          </reference>
          <reference field="9" count="1" selected="0">
            <x v="0"/>
          </reference>
        </references>
      </pivotArea>
    </chartFormat>
    <chartFormat chart="11" format="11" series="1">
      <pivotArea type="data" outline="0" fieldPosition="0">
        <references count="2">
          <reference field="4294967294" count="1" selected="0">
            <x v="0"/>
          </reference>
          <reference field="9" count="1" selected="0">
            <x v="1"/>
          </reference>
        </references>
      </pivotArea>
    </chartFormat>
    <chartFormat chart="11" format="12" series="1">
      <pivotArea type="data" outline="0" fieldPosition="0">
        <references count="2">
          <reference field="4294967294" count="1" selected="0">
            <x v="0"/>
          </reference>
          <reference field="9" count="1" selected="0">
            <x v="2"/>
          </reference>
        </references>
      </pivotArea>
    </chartFormat>
    <chartFormat chart="11" format="13" series="1">
      <pivotArea type="data" outline="0" fieldPosition="0">
        <references count="2">
          <reference field="4294967294" count="1" selected="0">
            <x v="0"/>
          </reference>
          <reference field="9" count="1" selected="0">
            <x v="3"/>
          </reference>
        </references>
      </pivotArea>
    </chartFormat>
    <chartFormat chart="11" format="14"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2FE1554-DEAF-422E-B264-367D6B37395B}"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5:B33" firstHeaderRow="1" firstDataRow="1" firstDataCol="1"/>
  <pivotFields count="18">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showAll="0"/>
    <pivotField showAll="0"/>
    <pivotField showAll="0">
      <items count="5">
        <item x="2"/>
        <item h="1" x="1"/>
        <item h="1" x="3"/>
        <item h="1"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8">
        <item x="0"/>
        <item x="1"/>
        <item x="2"/>
        <item x="4"/>
        <item x="3"/>
        <item n="6to10" x="5"/>
        <item n="morethan10" x="6"/>
        <item t="default"/>
      </items>
    </pivotField>
  </pivotFields>
  <rowFields count="1">
    <field x="17"/>
  </rowFields>
  <rowItems count="8">
    <i>
      <x/>
    </i>
    <i>
      <x v="1"/>
    </i>
    <i>
      <x v="2"/>
    </i>
    <i>
      <x v="3"/>
    </i>
    <i>
      <x v="4"/>
    </i>
    <i>
      <x v="5"/>
    </i>
    <i>
      <x v="6"/>
    </i>
    <i t="grand">
      <x/>
    </i>
  </rowItems>
  <colItems count="1">
    <i/>
  </colItems>
  <dataFields count="1">
    <dataField name="Count of TX ID" fld="0" subtotal="count"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2E9B4DD-BBEA-4E9F-BBAA-CF03AB2E2625}"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4:B22" firstHeaderRow="1" firstDataRow="1" firstDataCol="1"/>
  <pivotFields count="18">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showAll="0"/>
    <pivotField showAll="0"/>
    <pivotField showAll="0">
      <items count="5">
        <item x="2"/>
        <item h="1" x="1"/>
        <item h="1" x="3"/>
        <item h="1"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8">
        <item x="0"/>
        <item x="1"/>
        <item x="2"/>
        <item x="4"/>
        <item x="3"/>
        <item n="6to10" x="5"/>
        <item n="morethan10" x="6"/>
        <item t="default"/>
      </items>
    </pivotField>
  </pivotFields>
  <rowFields count="1">
    <field x="17"/>
  </rowFields>
  <rowItems count="8">
    <i>
      <x/>
    </i>
    <i>
      <x v="1"/>
    </i>
    <i>
      <x v="2"/>
    </i>
    <i>
      <x v="3"/>
    </i>
    <i>
      <x v="4"/>
    </i>
    <i>
      <x v="5"/>
    </i>
    <i>
      <x v="6"/>
    </i>
    <i t="grand">
      <x/>
    </i>
  </rowItems>
  <colItems count="1">
    <i/>
  </colItems>
  <dataFields count="1">
    <dataField name="Count of TX ID" fld="0"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68707A-1466-469C-92D7-B7283EB3061F}"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F11" firstHeaderRow="1" firstDataRow="2" firstDataCol="1"/>
  <pivotFields count="18">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8">
        <item x="0"/>
        <item x="1"/>
        <item x="2"/>
        <item x="4"/>
        <item x="3"/>
        <item x="5"/>
        <item x="6"/>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712DAABB-356C-4781-AF56-3F1B1F1B4671}" sourceName="Order Mode">
  <pivotTables>
    <pivotTable tabId="8" name="PivotTable6"/>
    <pivotTable tabId="8" name="PivotTable3"/>
    <pivotTable tabId="8" name="PivotTable5"/>
    <pivotTable tabId="8" name="PivotTable4"/>
    <pivotTable tabId="8" name="PivotTable1"/>
    <pivotTable tabId="8" name="PivotTable9"/>
    <pivotTable tabId="8" name="PivotTable10"/>
  </pivotTables>
  <data>
    <tabular pivotCacheId="686375770">
      <items count="5">
        <i x="0"/>
        <i x="3" s="1"/>
        <i x="4"/>
        <i x="2"/>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82BAD8ED-48F4-4DC6-9B42-7DC28C99471D}" sourceName="Gender Value">
  <pivotTables>
    <pivotTable tabId="8" name="PivotTable6"/>
    <pivotTable tabId="8" name="PivotTable3"/>
    <pivotTable tabId="8" name="PivotTable5"/>
    <pivotTable tabId="8" name="PivotTable7"/>
    <pivotTable tabId="8" name="PivotTable4"/>
    <pivotTable tabId="8" name="PivotTable1"/>
    <pivotTable tabId="8" name="PivotTable9"/>
    <pivotTable tabId="8" name="PivotTable10"/>
  </pivotTables>
  <data>
    <tabular pivotCacheId="686375770">
      <items count="4">
        <i x="2" s="1"/>
        <i x="1"/>
        <i x="3"/>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01164882-339F-43FD-830F-B10CFD654969}" cache="Slicer_Order_Mode" caption="Order Mode" rowHeight="247650"/>
  <slicer name="Gender Value" xr10:uid="{39E93765-7430-4B14-BF7C-5310D0E9BCFB}" cache="Slicer_Gender_Value" caption="Gender Valu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4"/>
    <tableColumn id="7" xr3:uid="{43BB5DBF-46E1-4185-80C0-4361F55A385C}" name="Ship Date" dataDxfId="3"/>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2">
      <calculatedColumnFormula>orders[[#This Row],[Ship Date]]-orders[[#This Row],[Order Date]]</calculatedColumnFormula>
    </tableColumn>
    <tableColumn id="12" xr3:uid="{B071C0DA-87A9-4516-B4D9-4F5B7D3FF44A}" name="Weeknum" dataDxfId="1">
      <calculatedColumnFormula>WEEKNUM(orders[[#This Row],[Order Date]])</calculatedColumnFormula>
    </tableColumn>
    <tableColumn id="13" xr3:uid="{B8EA9E28-7541-4E76-9935-C26438661A18}" name="Gender Value" dataDxfId="0">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chandoo.org/wp/excel-school-program/" TargetMode="External"/><Relationship Id="rId1" Type="http://schemas.openxmlformats.org/officeDocument/2006/relationships/hyperlink" Target="https://youtu.be/l5qkg8gzY6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27F17-E4AA-4982-92D8-D309ACA9C106}">
  <dimension ref="F4:J4"/>
  <sheetViews>
    <sheetView workbookViewId="0">
      <selection activeCell="A3" sqref="A3:E4"/>
    </sheetView>
  </sheetViews>
  <sheetFormatPr defaultRowHeight="14.4" x14ac:dyDescent="0.3"/>
  <cols>
    <col min="1" max="1" width="12.44140625" bestFit="1" customWidth="1"/>
    <col min="2" max="2" width="14.21875" bestFit="1" customWidth="1"/>
    <col min="3" max="3" width="13.5546875" bestFit="1" customWidth="1"/>
    <col min="4" max="4" width="16.6640625" bestFit="1" customWidth="1"/>
    <col min="5" max="5" width="22.33203125" bestFit="1" customWidth="1"/>
    <col min="6" max="45" width="15.5546875" bestFit="1" customWidth="1"/>
    <col min="46" max="46" width="18.77734375" bestFit="1" customWidth="1"/>
    <col min="47" max="47" width="16.77734375" bestFit="1" customWidth="1"/>
    <col min="48" max="48" width="18.109375" bestFit="1" customWidth="1"/>
    <col min="49" max="2401" width="9" bestFit="1" customWidth="1"/>
    <col min="2402" max="2402" width="10.5546875" bestFit="1" customWidth="1"/>
  </cols>
  <sheetData>
    <row r="4" spans="6:10" x14ac:dyDescent="0.3">
      <c r="F4" t="str">
        <f>TEXT(Sheet4!A2,"##,#")</f>
        <v>733</v>
      </c>
      <c r="G4" t="str">
        <f>TEXT(Sheet4!B2,"#,##")</f>
        <v>119</v>
      </c>
      <c r="H4" t="str">
        <f>TEXT(Sheet4!D2,"#.0")</f>
        <v>4.0</v>
      </c>
      <c r="I4" t="str">
        <f>TEXT(Sheet4!C2,"$#,##,.0")</f>
        <v>$32.6</v>
      </c>
      <c r="J4" t="str">
        <f>TEXT(Sheet4!E2,"#.0")</f>
        <v>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32F6D-D512-49A0-A7ED-5DB139A02880}">
  <dimension ref="A2:EI17"/>
  <sheetViews>
    <sheetView zoomScale="80" zoomScaleNormal="80" workbookViewId="0">
      <selection activeCell="U14" sqref="U14"/>
    </sheetView>
  </sheetViews>
  <sheetFormatPr defaultRowHeight="14.4" x14ac:dyDescent="0.3"/>
  <cols>
    <col min="1" max="1" width="2.88671875" style="17" customWidth="1"/>
    <col min="2" max="2" width="18.6640625" style="17" customWidth="1"/>
    <col min="3" max="3" width="9.21875" style="17" customWidth="1"/>
    <col min="4" max="63" width="8.88671875" style="16"/>
    <col min="64" max="139" width="8.88671875" style="15"/>
  </cols>
  <sheetData>
    <row r="2" spans="2:2" ht="21.6" customHeight="1" x14ac:dyDescent="0.3"/>
    <row r="5" spans="2:2" ht="18" x14ac:dyDescent="0.35">
      <c r="B5" s="18" t="s">
        <v>2561</v>
      </c>
    </row>
    <row r="9" spans="2:2" ht="18" x14ac:dyDescent="0.35">
      <c r="B9" s="18" t="s">
        <v>2562</v>
      </c>
    </row>
    <row r="13" spans="2:2" ht="18" x14ac:dyDescent="0.35">
      <c r="B13" s="18" t="s">
        <v>2563</v>
      </c>
    </row>
    <row r="17" spans="2:2" ht="18" x14ac:dyDescent="0.35">
      <c r="B17" s="18" t="s">
        <v>2564</v>
      </c>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6F9B8-C5CD-4ADB-853F-1E224E85ABB2}">
  <dimension ref="A1:P80"/>
  <sheetViews>
    <sheetView showGridLines="0" tabSelected="1" workbookViewId="0">
      <selection activeCell="N24" sqref="N24"/>
    </sheetView>
  </sheetViews>
  <sheetFormatPr defaultRowHeight="14.4" x14ac:dyDescent="0.3"/>
  <cols>
    <col min="1" max="1" width="12.44140625" bestFit="1" customWidth="1"/>
    <col min="2" max="2" width="12.21875" bestFit="1" customWidth="1"/>
    <col min="3" max="3" width="7.109375" bestFit="1" customWidth="1"/>
    <col min="4" max="4" width="6.109375" bestFit="1" customWidth="1"/>
    <col min="5" max="5" width="8.5546875" bestFit="1" customWidth="1"/>
    <col min="6" max="6" width="10.5546875" bestFit="1" customWidth="1"/>
    <col min="7" max="7" width="8.88671875" customWidth="1"/>
    <col min="8" max="8" width="9.5546875" customWidth="1"/>
    <col min="9" max="9" width="10.44140625" customWidth="1"/>
    <col min="10" max="10" width="12.88671875" customWidth="1"/>
    <col min="11" max="11" width="10.5546875" bestFit="1" customWidth="1"/>
    <col min="13" max="13" width="13.21875" customWidth="1"/>
    <col min="14" max="14" width="12.44140625" bestFit="1" customWidth="1"/>
    <col min="15" max="15" width="15.5546875" bestFit="1" customWidth="1"/>
    <col min="16" max="16" width="2" bestFit="1" customWidth="1"/>
    <col min="17" max="19" width="3" bestFit="1" customWidth="1"/>
    <col min="20" max="20" width="10.5546875" bestFit="1" customWidth="1"/>
  </cols>
  <sheetData>
    <row r="1" spans="1:16" x14ac:dyDescent="0.3">
      <c r="A1" t="s">
        <v>2552</v>
      </c>
      <c r="B1" t="s">
        <v>2555</v>
      </c>
      <c r="C1" t="s">
        <v>2556</v>
      </c>
      <c r="D1" t="s">
        <v>2559</v>
      </c>
      <c r="E1" t="s">
        <v>2560</v>
      </c>
    </row>
    <row r="2" spans="1:16" x14ac:dyDescent="0.3">
      <c r="A2">
        <v>733</v>
      </c>
      <c r="B2">
        <v>119</v>
      </c>
      <c r="C2">
        <v>32635.300000000014</v>
      </c>
      <c r="D2">
        <v>4.0084033613445378</v>
      </c>
      <c r="E2">
        <v>2.3949579831932772</v>
      </c>
    </row>
    <row r="4" spans="1:16" x14ac:dyDescent="0.3">
      <c r="A4" s="12" t="s">
        <v>2556</v>
      </c>
      <c r="B4" s="12" t="s">
        <v>2553</v>
      </c>
      <c r="I4" t="str">
        <f>B5</f>
        <v>Female</v>
      </c>
      <c r="J4" t="str">
        <f>C5</f>
        <v>Male</v>
      </c>
      <c r="K4" t="str">
        <f>D5</f>
        <v>Other</v>
      </c>
      <c r="L4" t="str">
        <f>E5</f>
        <v>Unknown</v>
      </c>
      <c r="N4" s="12" t="s">
        <v>2557</v>
      </c>
      <c r="O4" t="s">
        <v>2552</v>
      </c>
      <c r="P4" t="s">
        <v>2556</v>
      </c>
    </row>
    <row r="5" spans="1:16" x14ac:dyDescent="0.3">
      <c r="A5" s="12" t="s">
        <v>2557</v>
      </c>
      <c r="B5" t="s">
        <v>2568</v>
      </c>
      <c r="C5" t="s">
        <v>2569</v>
      </c>
      <c r="D5" t="s">
        <v>2570</v>
      </c>
      <c r="E5" t="s">
        <v>2571</v>
      </c>
      <c r="F5" t="s">
        <v>2554</v>
      </c>
      <c r="H5" s="22" t="str">
        <f>A6</f>
        <v>App</v>
      </c>
      <c r="I5" s="22">
        <f>B6</f>
        <v>0.18961825201634841</v>
      </c>
      <c r="J5" s="22">
        <f>C6</f>
        <v>0.12262322351336576</v>
      </c>
      <c r="K5" s="22">
        <f>D6</f>
        <v>1.060537752469185E-2</v>
      </c>
      <c r="L5" s="22">
        <f>E6</f>
        <v>3.0599220547662797E-2</v>
      </c>
      <c r="N5" s="14">
        <v>1</v>
      </c>
      <c r="O5">
        <v>43</v>
      </c>
      <c r="P5" s="19">
        <v>1544.3999999999999</v>
      </c>
    </row>
    <row r="6" spans="1:16" x14ac:dyDescent="0.3">
      <c r="A6" s="14" t="s">
        <v>18</v>
      </c>
      <c r="B6" s="21">
        <v>0.18961825201634841</v>
      </c>
      <c r="C6" s="21">
        <v>0.12262322351336576</v>
      </c>
      <c r="D6" s="21">
        <v>1.060537752469185E-2</v>
      </c>
      <c r="E6" s="21">
        <v>3.0599220547662797E-2</v>
      </c>
      <c r="F6" s="21">
        <v>0.35344607360206881</v>
      </c>
      <c r="H6" s="22" t="str">
        <f>A7</f>
        <v>Instagram</v>
      </c>
      <c r="I6" s="22">
        <f>B7</f>
        <v>5.0283982091147303E-2</v>
      </c>
      <c r="J6" s="22">
        <f>C7</f>
        <v>4.3060781812819873E-2</v>
      </c>
      <c r="K6" s="22">
        <f>D7</f>
        <v>1.5320025675641944E-3</v>
      </c>
      <c r="L6" s="22">
        <f>E7</f>
        <v>1.7794988689097006E-2</v>
      </c>
      <c r="N6" s="14">
        <v>2</v>
      </c>
      <c r="O6">
        <v>14</v>
      </c>
      <c r="P6" s="19">
        <v>768.19999999999993</v>
      </c>
    </row>
    <row r="7" spans="1:16" x14ac:dyDescent="0.3">
      <c r="A7" s="14" t="s">
        <v>51</v>
      </c>
      <c r="B7" s="21">
        <v>5.0283982091147303E-2</v>
      </c>
      <c r="C7" s="21">
        <v>4.3060781812819873E-2</v>
      </c>
      <c r="D7" s="21">
        <v>1.5320025675641944E-3</v>
      </c>
      <c r="E7" s="21">
        <v>1.7794988689097006E-2</v>
      </c>
      <c r="F7" s="21">
        <v>0.11267175516062837</v>
      </c>
      <c r="H7" s="22" t="str">
        <f>A8</f>
        <v>Partner App</v>
      </c>
      <c r="I7" s="22">
        <f>B8</f>
        <v>6.3496059750411282E-2</v>
      </c>
      <c r="J7" s="22">
        <f>C8</f>
        <v>4.6071629863988765E-2</v>
      </c>
      <c r="K7" s="22">
        <f>D8</f>
        <v>2.306247051322625E-3</v>
      </c>
      <c r="L7" s="22">
        <f>E8</f>
        <v>3.8927934093844286E-3</v>
      </c>
      <c r="N7" s="14">
        <v>3</v>
      </c>
      <c r="O7">
        <v>15</v>
      </c>
      <c r="P7" s="19">
        <v>470.20000000000005</v>
      </c>
    </row>
    <row r="8" spans="1:16" x14ac:dyDescent="0.3">
      <c r="A8" s="14" t="s">
        <v>70</v>
      </c>
      <c r="B8" s="21">
        <v>6.3496059750411282E-2</v>
      </c>
      <c r="C8" s="21">
        <v>4.6071629863988765E-2</v>
      </c>
      <c r="D8" s="21">
        <v>2.306247051322625E-3</v>
      </c>
      <c r="E8" s="21">
        <v>3.8927934093844286E-3</v>
      </c>
      <c r="F8" s="21">
        <v>0.11576673007510711</v>
      </c>
      <c r="H8" s="22" t="str">
        <f>A9</f>
        <v>Target.com</v>
      </c>
      <c r="I8" s="22">
        <f>B9</f>
        <v>9.6337892927149532E-2</v>
      </c>
      <c r="J8" s="22">
        <f>C9</f>
        <v>6.7920115842382611E-2</v>
      </c>
      <c r="K8" s="22">
        <f>D9</f>
        <v>5.4979832664581261E-3</v>
      </c>
      <c r="L8" s="22">
        <f>E9</f>
        <v>1.2933041488102518E-2</v>
      </c>
      <c r="N8" s="14">
        <v>4</v>
      </c>
      <c r="O8">
        <v>115</v>
      </c>
      <c r="P8" s="19">
        <v>5443.2</v>
      </c>
    </row>
    <row r="9" spans="1:16" x14ac:dyDescent="0.3">
      <c r="A9" s="14" t="s">
        <v>40</v>
      </c>
      <c r="B9" s="21">
        <v>9.6337892927149532E-2</v>
      </c>
      <c r="C9" s="21">
        <v>6.7920115842382611E-2</v>
      </c>
      <c r="D9" s="21">
        <v>5.4979832664581261E-3</v>
      </c>
      <c r="E9" s="21">
        <v>1.2933041488102518E-2</v>
      </c>
      <c r="F9" s="21">
        <v>0.1826890335240928</v>
      </c>
      <c r="H9" s="22" t="str">
        <f>A10</f>
        <v>Website</v>
      </c>
      <c r="I9" s="22">
        <f>B10</f>
        <v>0.12522098709469262</v>
      </c>
      <c r="J9" s="22">
        <f>C10</f>
        <v>9.1492740283116228E-2</v>
      </c>
      <c r="K9" s="22">
        <f>D10</f>
        <v>6.3042760790965081E-3</v>
      </c>
      <c r="L9" s="22">
        <f>E10</f>
        <v>1.2408404181197551E-2</v>
      </c>
      <c r="N9" s="14">
        <v>5</v>
      </c>
      <c r="O9">
        <v>106</v>
      </c>
      <c r="P9" s="19">
        <v>4419.4999999999991</v>
      </c>
    </row>
    <row r="10" spans="1:16" x14ac:dyDescent="0.3">
      <c r="A10" s="14" t="s">
        <v>35</v>
      </c>
      <c r="B10" s="21">
        <v>0.12522098709469262</v>
      </c>
      <c r="C10" s="21">
        <v>9.1492740283116228E-2</v>
      </c>
      <c r="D10" s="21">
        <v>6.3042760790965081E-3</v>
      </c>
      <c r="E10" s="21">
        <v>1.2408404181197551E-2</v>
      </c>
      <c r="F10" s="21">
        <v>0.23542640763810288</v>
      </c>
      <c r="N10" s="14">
        <v>6</v>
      </c>
      <c r="O10">
        <v>125</v>
      </c>
      <c r="P10" s="19">
        <v>6110.9999999999991</v>
      </c>
    </row>
    <row r="11" spans="1:16" x14ac:dyDescent="0.3">
      <c r="A11" s="14" t="s">
        <v>2554</v>
      </c>
      <c r="B11" s="21">
        <v>0.52495717387974916</v>
      </c>
      <c r="C11" s="21">
        <v>0.3711684913156732</v>
      </c>
      <c r="D11" s="21">
        <v>2.6245886489133303E-2</v>
      </c>
      <c r="E11" s="21">
        <v>7.7628448315444312E-2</v>
      </c>
      <c r="F11" s="21">
        <v>1</v>
      </c>
      <c r="N11" s="14">
        <v>7</v>
      </c>
      <c r="O11">
        <v>44</v>
      </c>
      <c r="P11" s="19">
        <v>2134.8000000000002</v>
      </c>
    </row>
    <row r="12" spans="1:16" x14ac:dyDescent="0.3">
      <c r="N12" s="14">
        <v>8</v>
      </c>
      <c r="O12">
        <v>26</v>
      </c>
      <c r="P12" s="19">
        <v>1218.5999999999999</v>
      </c>
    </row>
    <row r="13" spans="1:16" x14ac:dyDescent="0.3">
      <c r="D13" s="12" t="s">
        <v>2555</v>
      </c>
      <c r="E13" s="12" t="s">
        <v>2553</v>
      </c>
      <c r="N13" s="14">
        <v>9</v>
      </c>
      <c r="O13">
        <v>51</v>
      </c>
      <c r="P13" s="19">
        <v>1944.5000000000002</v>
      </c>
    </row>
    <row r="14" spans="1:16" x14ac:dyDescent="0.3">
      <c r="A14" s="12" t="s">
        <v>2557</v>
      </c>
      <c r="B14" t="s">
        <v>2555</v>
      </c>
      <c r="D14" s="12" t="s">
        <v>2557</v>
      </c>
      <c r="E14">
        <v>1</v>
      </c>
      <c r="F14">
        <v>2</v>
      </c>
      <c r="G14">
        <v>3</v>
      </c>
      <c r="H14">
        <v>4</v>
      </c>
      <c r="I14">
        <v>5</v>
      </c>
      <c r="J14" t="s">
        <v>2554</v>
      </c>
      <c r="N14" s="14">
        <v>10</v>
      </c>
      <c r="O14">
        <v>83</v>
      </c>
      <c r="P14" s="19">
        <v>3242.7</v>
      </c>
    </row>
    <row r="15" spans="1:16" x14ac:dyDescent="0.3">
      <c r="A15" s="14">
        <v>1</v>
      </c>
      <c r="B15">
        <v>16</v>
      </c>
      <c r="D15" s="14" t="s">
        <v>2565</v>
      </c>
      <c r="E15">
        <v>2</v>
      </c>
      <c r="G15">
        <v>8</v>
      </c>
      <c r="H15">
        <v>27</v>
      </c>
      <c r="I15">
        <v>8</v>
      </c>
      <c r="J15">
        <v>45</v>
      </c>
      <c r="N15" s="14">
        <v>11</v>
      </c>
      <c r="O15">
        <v>15</v>
      </c>
      <c r="P15" s="19">
        <v>1012.4</v>
      </c>
    </row>
    <row r="16" spans="1:16" x14ac:dyDescent="0.3">
      <c r="A16" s="14">
        <v>2</v>
      </c>
      <c r="B16">
        <v>30</v>
      </c>
      <c r="D16" s="14" t="s">
        <v>2566</v>
      </c>
      <c r="E16">
        <v>1</v>
      </c>
      <c r="F16">
        <v>1</v>
      </c>
      <c r="G16">
        <v>2</v>
      </c>
      <c r="H16">
        <v>19</v>
      </c>
      <c r="I16">
        <v>20</v>
      </c>
      <c r="J16">
        <v>43</v>
      </c>
      <c r="N16" s="14">
        <v>12</v>
      </c>
      <c r="O16">
        <v>67</v>
      </c>
      <c r="P16" s="19">
        <v>3357.2999999999993</v>
      </c>
    </row>
    <row r="17" spans="1:16" x14ac:dyDescent="0.3">
      <c r="A17" s="14">
        <v>3</v>
      </c>
      <c r="B17">
        <v>13</v>
      </c>
      <c r="D17" s="14" t="s">
        <v>2567</v>
      </c>
      <c r="E17">
        <v>1</v>
      </c>
      <c r="F17">
        <v>5</v>
      </c>
      <c r="G17">
        <v>4</v>
      </c>
      <c r="H17">
        <v>10</v>
      </c>
      <c r="I17">
        <v>11</v>
      </c>
      <c r="J17">
        <v>31</v>
      </c>
      <c r="N17" s="14">
        <v>13</v>
      </c>
      <c r="O17">
        <v>29</v>
      </c>
      <c r="P17" s="19">
        <v>968.5</v>
      </c>
    </row>
    <row r="18" spans="1:16" x14ac:dyDescent="0.3">
      <c r="A18" s="14">
        <v>4</v>
      </c>
      <c r="B18">
        <v>11</v>
      </c>
      <c r="D18" s="14" t="s">
        <v>2554</v>
      </c>
      <c r="E18">
        <v>4</v>
      </c>
      <c r="F18">
        <v>6</v>
      </c>
      <c r="G18">
        <v>14</v>
      </c>
      <c r="H18">
        <v>56</v>
      </c>
      <c r="I18">
        <v>39</v>
      </c>
      <c r="J18">
        <v>119</v>
      </c>
      <c r="N18" s="14" t="s">
        <v>2554</v>
      </c>
      <c r="O18">
        <v>733</v>
      </c>
      <c r="P18" s="19">
        <v>32635.3</v>
      </c>
    </row>
    <row r="19" spans="1:16" x14ac:dyDescent="0.3">
      <c r="A19" s="14">
        <v>5</v>
      </c>
      <c r="B19">
        <v>10</v>
      </c>
    </row>
    <row r="20" spans="1:16" x14ac:dyDescent="0.3">
      <c r="A20" s="14" t="s">
        <v>2573</v>
      </c>
      <c r="B20">
        <v>22</v>
      </c>
    </row>
    <row r="21" spans="1:16" x14ac:dyDescent="0.3">
      <c r="A21" s="14" t="s">
        <v>2572</v>
      </c>
      <c r="B21">
        <v>17</v>
      </c>
      <c r="D21" s="12" t="s">
        <v>10</v>
      </c>
      <c r="E21" s="12" t="s">
        <v>11</v>
      </c>
      <c r="F21" t="s">
        <v>2552</v>
      </c>
      <c r="G21" t="s">
        <v>2556</v>
      </c>
    </row>
    <row r="22" spans="1:16" x14ac:dyDescent="0.3">
      <c r="A22" s="14" t="s">
        <v>2554</v>
      </c>
      <c r="B22">
        <v>119</v>
      </c>
      <c r="D22" t="s">
        <v>19</v>
      </c>
      <c r="E22" t="s">
        <v>115</v>
      </c>
      <c r="F22">
        <v>579</v>
      </c>
      <c r="G22">
        <v>31884.999999999996</v>
      </c>
      <c r="I22" s="12" t="s">
        <v>2557</v>
      </c>
      <c r="J22" t="s">
        <v>2552</v>
      </c>
      <c r="K22" t="s">
        <v>2558</v>
      </c>
    </row>
    <row r="23" spans="1:16" x14ac:dyDescent="0.3">
      <c r="D23" t="s">
        <v>19</v>
      </c>
      <c r="E23" t="s">
        <v>20</v>
      </c>
      <c r="F23">
        <v>1</v>
      </c>
      <c r="G23">
        <v>10.9</v>
      </c>
      <c r="I23" s="14" t="s">
        <v>2568</v>
      </c>
      <c r="J23">
        <v>6272</v>
      </c>
      <c r="K23">
        <v>5622</v>
      </c>
    </row>
    <row r="24" spans="1:16" x14ac:dyDescent="0.3">
      <c r="D24" t="s">
        <v>19</v>
      </c>
      <c r="E24" t="s">
        <v>641</v>
      </c>
      <c r="F24">
        <v>9</v>
      </c>
      <c r="G24">
        <v>800.3</v>
      </c>
      <c r="I24" s="14" t="s">
        <v>2554</v>
      </c>
      <c r="J24">
        <v>6272</v>
      </c>
    </row>
    <row r="25" spans="1:16" x14ac:dyDescent="0.3">
      <c r="A25" s="12" t="s">
        <v>2557</v>
      </c>
      <c r="B25" t="s">
        <v>2555</v>
      </c>
      <c r="D25" t="s">
        <v>19</v>
      </c>
      <c r="E25" t="s">
        <v>967</v>
      </c>
      <c r="F25">
        <v>35</v>
      </c>
      <c r="G25">
        <v>1062.5999999999999</v>
      </c>
    </row>
    <row r="26" spans="1:16" x14ac:dyDescent="0.3">
      <c r="A26" s="14">
        <v>1</v>
      </c>
      <c r="B26">
        <v>16</v>
      </c>
      <c r="D26" t="s">
        <v>19</v>
      </c>
      <c r="E26" t="s">
        <v>84</v>
      </c>
      <c r="F26">
        <v>12</v>
      </c>
      <c r="G26">
        <v>326.20000000000005</v>
      </c>
      <c r="I26" s="12" t="s">
        <v>2552</v>
      </c>
      <c r="J26" s="12" t="s">
        <v>2553</v>
      </c>
    </row>
    <row r="27" spans="1:16" x14ac:dyDescent="0.3">
      <c r="A27" s="14">
        <v>2</v>
      </c>
      <c r="B27">
        <v>30</v>
      </c>
      <c r="D27" t="s">
        <v>19</v>
      </c>
      <c r="E27" t="s">
        <v>1383</v>
      </c>
      <c r="F27">
        <v>4</v>
      </c>
      <c r="G27">
        <v>167.5</v>
      </c>
      <c r="I27" s="12" t="s">
        <v>2557</v>
      </c>
      <c r="J27" t="s">
        <v>2568</v>
      </c>
      <c r="K27" t="s">
        <v>2554</v>
      </c>
    </row>
    <row r="28" spans="1:16" x14ac:dyDescent="0.3">
      <c r="A28" s="14">
        <v>3</v>
      </c>
      <c r="B28">
        <v>13</v>
      </c>
      <c r="D28" t="s">
        <v>19</v>
      </c>
      <c r="E28" t="s">
        <v>24</v>
      </c>
      <c r="F28">
        <v>341</v>
      </c>
      <c r="G28">
        <v>16168.7</v>
      </c>
      <c r="I28" s="14" t="s">
        <v>44</v>
      </c>
      <c r="J28">
        <v>122</v>
      </c>
      <c r="K28">
        <v>122</v>
      </c>
    </row>
    <row r="29" spans="1:16" x14ac:dyDescent="0.3">
      <c r="A29" s="14">
        <v>4</v>
      </c>
      <c r="B29">
        <v>11</v>
      </c>
      <c r="D29" t="s">
        <v>19</v>
      </c>
      <c r="E29" t="s">
        <v>2204</v>
      </c>
      <c r="F29">
        <v>13</v>
      </c>
      <c r="G29">
        <v>322.40000000000003</v>
      </c>
      <c r="I29" s="14" t="s">
        <v>54</v>
      </c>
      <c r="J29">
        <v>92</v>
      </c>
      <c r="K29">
        <v>92</v>
      </c>
    </row>
    <row r="30" spans="1:16" x14ac:dyDescent="0.3">
      <c r="A30" s="14">
        <v>5</v>
      </c>
      <c r="B30">
        <v>10</v>
      </c>
      <c r="D30" t="s">
        <v>19</v>
      </c>
      <c r="E30" t="s">
        <v>437</v>
      </c>
      <c r="F30">
        <v>31</v>
      </c>
      <c r="G30">
        <v>2092.8000000000002</v>
      </c>
      <c r="I30" s="14" t="s">
        <v>46</v>
      </c>
      <c r="J30">
        <v>82</v>
      </c>
      <c r="K30">
        <v>82</v>
      </c>
    </row>
    <row r="31" spans="1:16" x14ac:dyDescent="0.3">
      <c r="A31" s="14" t="s">
        <v>2573</v>
      </c>
      <c r="B31">
        <v>22</v>
      </c>
      <c r="D31" t="s">
        <v>19</v>
      </c>
      <c r="E31" t="s">
        <v>28</v>
      </c>
      <c r="F31">
        <v>279</v>
      </c>
      <c r="G31">
        <v>12662.500000000002</v>
      </c>
      <c r="I31" s="14" t="s">
        <v>16</v>
      </c>
      <c r="J31">
        <v>73</v>
      </c>
      <c r="K31">
        <v>73</v>
      </c>
    </row>
    <row r="32" spans="1:16" x14ac:dyDescent="0.3">
      <c r="A32" s="14" t="s">
        <v>2572</v>
      </c>
      <c r="B32">
        <v>17</v>
      </c>
      <c r="D32" t="s">
        <v>19</v>
      </c>
      <c r="E32" t="s">
        <v>208</v>
      </c>
      <c r="F32">
        <v>9</v>
      </c>
      <c r="G32">
        <v>343.2</v>
      </c>
      <c r="I32" s="14" t="s">
        <v>32</v>
      </c>
      <c r="J32">
        <v>65</v>
      </c>
      <c r="K32">
        <v>65</v>
      </c>
    </row>
    <row r="33" spans="1:11" x14ac:dyDescent="0.3">
      <c r="A33" s="14" t="s">
        <v>2554</v>
      </c>
      <c r="B33">
        <v>119</v>
      </c>
      <c r="D33" t="s">
        <v>19</v>
      </c>
      <c r="E33" t="s">
        <v>587</v>
      </c>
      <c r="F33">
        <v>49</v>
      </c>
      <c r="G33">
        <v>2188.2999999999997</v>
      </c>
      <c r="I33" s="14" t="s">
        <v>22</v>
      </c>
      <c r="J33">
        <v>53</v>
      </c>
      <c r="K33">
        <v>53</v>
      </c>
    </row>
    <row r="34" spans="1:11" x14ac:dyDescent="0.3">
      <c r="A34" s="12" t="s">
        <v>2557</v>
      </c>
      <c r="B34" t="s">
        <v>2555</v>
      </c>
      <c r="D34" t="s">
        <v>19</v>
      </c>
      <c r="E34" t="s">
        <v>331</v>
      </c>
      <c r="F34">
        <v>59</v>
      </c>
      <c r="G34">
        <v>2661.5999999999995</v>
      </c>
      <c r="I34" s="14" t="s">
        <v>39</v>
      </c>
      <c r="J34">
        <v>49</v>
      </c>
      <c r="K34">
        <v>49</v>
      </c>
    </row>
    <row r="35" spans="1:11" x14ac:dyDescent="0.3">
      <c r="A35" s="14">
        <v>0</v>
      </c>
      <c r="B35">
        <v>8</v>
      </c>
      <c r="D35" t="s">
        <v>19</v>
      </c>
      <c r="E35" t="s">
        <v>86</v>
      </c>
      <c r="F35">
        <v>8</v>
      </c>
      <c r="G35">
        <v>887.5</v>
      </c>
      <c r="I35" s="14" t="s">
        <v>37</v>
      </c>
      <c r="J35">
        <v>38</v>
      </c>
      <c r="K35">
        <v>38</v>
      </c>
    </row>
    <row r="36" spans="1:11" x14ac:dyDescent="0.3">
      <c r="A36" s="14">
        <v>1</v>
      </c>
      <c r="B36">
        <v>42</v>
      </c>
      <c r="D36" t="s">
        <v>19</v>
      </c>
      <c r="E36" t="s">
        <v>147</v>
      </c>
      <c r="F36">
        <v>222</v>
      </c>
      <c r="G36">
        <v>11354.199999999993</v>
      </c>
      <c r="I36" s="14" t="s">
        <v>67</v>
      </c>
      <c r="J36">
        <v>32</v>
      </c>
      <c r="K36">
        <v>32</v>
      </c>
    </row>
    <row r="37" spans="1:11" x14ac:dyDescent="0.3">
      <c r="A37" s="14">
        <v>2</v>
      </c>
      <c r="B37">
        <v>28</v>
      </c>
      <c r="D37" t="s">
        <v>19</v>
      </c>
      <c r="E37" t="s">
        <v>334</v>
      </c>
      <c r="F37">
        <v>36</v>
      </c>
      <c r="G37">
        <v>1558.4</v>
      </c>
      <c r="I37" s="14" t="s">
        <v>26</v>
      </c>
      <c r="J37">
        <v>28</v>
      </c>
      <c r="K37">
        <v>28</v>
      </c>
    </row>
    <row r="38" spans="1:11" x14ac:dyDescent="0.3">
      <c r="A38" s="14">
        <v>3</v>
      </c>
      <c r="B38">
        <v>14</v>
      </c>
      <c r="D38" t="s">
        <v>19</v>
      </c>
      <c r="E38" t="s">
        <v>949</v>
      </c>
      <c r="F38">
        <v>30</v>
      </c>
      <c r="G38">
        <v>2223.9</v>
      </c>
      <c r="I38" s="14" t="s">
        <v>123</v>
      </c>
      <c r="J38">
        <v>24</v>
      </c>
      <c r="K38">
        <v>24</v>
      </c>
    </row>
    <row r="39" spans="1:11" x14ac:dyDescent="0.3">
      <c r="A39" s="14">
        <v>4</v>
      </c>
      <c r="B39">
        <v>12</v>
      </c>
      <c r="D39" t="s">
        <v>19</v>
      </c>
      <c r="E39" t="s">
        <v>1426</v>
      </c>
      <c r="F39">
        <v>1</v>
      </c>
      <c r="G39">
        <v>26.2</v>
      </c>
      <c r="I39" s="14" t="s">
        <v>69</v>
      </c>
      <c r="J39">
        <v>22</v>
      </c>
      <c r="K39">
        <v>22</v>
      </c>
    </row>
    <row r="40" spans="1:11" x14ac:dyDescent="0.3">
      <c r="A40" s="14">
        <v>5</v>
      </c>
      <c r="B40">
        <v>5</v>
      </c>
      <c r="D40" t="s">
        <v>19</v>
      </c>
      <c r="E40" t="s">
        <v>33</v>
      </c>
      <c r="F40">
        <v>3991</v>
      </c>
      <c r="G40">
        <v>215551.19999999981</v>
      </c>
      <c r="I40" s="14" t="s">
        <v>42</v>
      </c>
      <c r="J40">
        <v>12</v>
      </c>
      <c r="K40">
        <v>12</v>
      </c>
    </row>
    <row r="41" spans="1:11" x14ac:dyDescent="0.3">
      <c r="A41" s="14">
        <v>6</v>
      </c>
      <c r="B41">
        <v>6</v>
      </c>
      <c r="D41" t="s">
        <v>19</v>
      </c>
      <c r="E41" t="s">
        <v>364</v>
      </c>
      <c r="F41">
        <v>45</v>
      </c>
      <c r="G41">
        <v>2687.3999999999996</v>
      </c>
      <c r="I41" s="14" t="s">
        <v>30</v>
      </c>
      <c r="J41">
        <v>11</v>
      </c>
      <c r="K41">
        <v>11</v>
      </c>
    </row>
    <row r="42" spans="1:11" x14ac:dyDescent="0.3">
      <c r="A42" s="14">
        <v>7</v>
      </c>
      <c r="B42">
        <v>1</v>
      </c>
      <c r="D42" t="s">
        <v>19</v>
      </c>
      <c r="E42" t="s">
        <v>545</v>
      </c>
      <c r="F42">
        <v>39</v>
      </c>
      <c r="G42">
        <v>1463.3000000000002</v>
      </c>
      <c r="I42" s="14" t="s">
        <v>146</v>
      </c>
      <c r="J42">
        <v>9</v>
      </c>
      <c r="K42">
        <v>9</v>
      </c>
    </row>
    <row r="43" spans="1:11" x14ac:dyDescent="0.3">
      <c r="A43" s="14">
        <v>8</v>
      </c>
      <c r="B43">
        <v>2</v>
      </c>
      <c r="D43" t="s">
        <v>19</v>
      </c>
      <c r="E43" t="s">
        <v>416</v>
      </c>
      <c r="F43">
        <v>6</v>
      </c>
      <c r="G43">
        <v>445.79999999999995</v>
      </c>
      <c r="I43" s="14" t="s">
        <v>128</v>
      </c>
      <c r="J43">
        <v>9</v>
      </c>
      <c r="K43">
        <v>9</v>
      </c>
    </row>
    <row r="44" spans="1:11" x14ac:dyDescent="0.3">
      <c r="A44" s="14">
        <v>13</v>
      </c>
      <c r="B44">
        <v>1</v>
      </c>
      <c r="D44" t="s">
        <v>19</v>
      </c>
      <c r="E44" t="s">
        <v>258</v>
      </c>
      <c r="F44">
        <v>9</v>
      </c>
      <c r="G44">
        <v>273.59999999999997</v>
      </c>
      <c r="I44" s="14" t="s">
        <v>135</v>
      </c>
      <c r="J44">
        <v>7</v>
      </c>
      <c r="K44">
        <v>7</v>
      </c>
    </row>
    <row r="45" spans="1:11" x14ac:dyDescent="0.3">
      <c r="A45" s="14" t="s">
        <v>2554</v>
      </c>
      <c r="B45">
        <v>119</v>
      </c>
      <c r="D45" t="s">
        <v>19</v>
      </c>
      <c r="E45" t="s">
        <v>186</v>
      </c>
      <c r="F45">
        <v>60</v>
      </c>
      <c r="G45">
        <v>2690.4</v>
      </c>
      <c r="I45" s="14" t="s">
        <v>81</v>
      </c>
      <c r="J45">
        <v>5</v>
      </c>
      <c r="K45">
        <v>5</v>
      </c>
    </row>
    <row r="46" spans="1:11" x14ac:dyDescent="0.3">
      <c r="D46" t="s">
        <v>19</v>
      </c>
      <c r="E46" t="s">
        <v>392</v>
      </c>
      <c r="F46">
        <v>2</v>
      </c>
      <c r="G46">
        <v>28.4</v>
      </c>
      <c r="I46" s="14" t="s">
        <v>2554</v>
      </c>
      <c r="J46">
        <v>733</v>
      </c>
      <c r="K46">
        <v>733</v>
      </c>
    </row>
    <row r="47" spans="1:11" x14ac:dyDescent="0.3">
      <c r="D47" t="s">
        <v>19</v>
      </c>
      <c r="E47" t="s">
        <v>670</v>
      </c>
      <c r="F47">
        <v>4</v>
      </c>
      <c r="G47">
        <v>204.8</v>
      </c>
    </row>
    <row r="48" spans="1:11" x14ac:dyDescent="0.3">
      <c r="D48" t="s">
        <v>19</v>
      </c>
      <c r="E48" t="s">
        <v>802</v>
      </c>
      <c r="F48">
        <v>31</v>
      </c>
      <c r="G48">
        <v>1607.8999999999999</v>
      </c>
    </row>
    <row r="49" spans="4:7" x14ac:dyDescent="0.3">
      <c r="D49" t="s">
        <v>19</v>
      </c>
      <c r="E49" t="s">
        <v>98</v>
      </c>
      <c r="F49">
        <v>88</v>
      </c>
      <c r="G49">
        <v>6444.9</v>
      </c>
    </row>
    <row r="50" spans="4:7" x14ac:dyDescent="0.3">
      <c r="D50" t="s">
        <v>19</v>
      </c>
      <c r="E50" t="s">
        <v>49</v>
      </c>
      <c r="F50">
        <v>25</v>
      </c>
      <c r="G50">
        <v>1809.3</v>
      </c>
    </row>
    <row r="51" spans="4:7" x14ac:dyDescent="0.3">
      <c r="D51" t="s">
        <v>19</v>
      </c>
      <c r="E51" t="s">
        <v>188</v>
      </c>
      <c r="F51">
        <v>178</v>
      </c>
      <c r="G51">
        <v>9680.399999999996</v>
      </c>
    </row>
    <row r="52" spans="4:7" x14ac:dyDescent="0.3">
      <c r="D52" t="s">
        <v>19</v>
      </c>
      <c r="E52" t="s">
        <v>52</v>
      </c>
      <c r="F52">
        <v>141</v>
      </c>
      <c r="G52">
        <v>9414.7999999999993</v>
      </c>
    </row>
    <row r="53" spans="4:7" x14ac:dyDescent="0.3">
      <c r="D53" t="s">
        <v>19</v>
      </c>
      <c r="E53" t="s">
        <v>338</v>
      </c>
      <c r="F53">
        <v>6</v>
      </c>
      <c r="G53">
        <v>206.1</v>
      </c>
    </row>
    <row r="54" spans="4:7" x14ac:dyDescent="0.3">
      <c r="D54" t="s">
        <v>19</v>
      </c>
      <c r="E54" t="s">
        <v>158</v>
      </c>
      <c r="F54">
        <v>178</v>
      </c>
      <c r="G54">
        <v>7691.3</v>
      </c>
    </row>
    <row r="55" spans="4:7" x14ac:dyDescent="0.3">
      <c r="D55" t="s">
        <v>19</v>
      </c>
      <c r="E55" t="s">
        <v>55</v>
      </c>
      <c r="F55">
        <v>699</v>
      </c>
      <c r="G55">
        <v>37784.900000000016</v>
      </c>
    </row>
    <row r="56" spans="4:7" x14ac:dyDescent="0.3">
      <c r="D56" t="s">
        <v>19</v>
      </c>
      <c r="E56" t="s">
        <v>342</v>
      </c>
      <c r="F56">
        <v>23</v>
      </c>
      <c r="G56">
        <v>1129.7</v>
      </c>
    </row>
    <row r="57" spans="4:7" x14ac:dyDescent="0.3">
      <c r="D57" t="s">
        <v>19</v>
      </c>
      <c r="E57" t="s">
        <v>59</v>
      </c>
      <c r="F57">
        <v>356</v>
      </c>
      <c r="G57">
        <v>20988.9</v>
      </c>
    </row>
    <row r="58" spans="4:7" x14ac:dyDescent="0.3">
      <c r="D58" t="s">
        <v>19</v>
      </c>
      <c r="E58" t="s">
        <v>62</v>
      </c>
      <c r="F58">
        <v>1768</v>
      </c>
      <c r="G58">
        <v>98367.099999999977</v>
      </c>
    </row>
    <row r="59" spans="4:7" x14ac:dyDescent="0.3">
      <c r="D59" t="s">
        <v>19</v>
      </c>
      <c r="E59" t="s">
        <v>103</v>
      </c>
      <c r="F59">
        <v>307</v>
      </c>
      <c r="G59">
        <v>21911.9</v>
      </c>
    </row>
    <row r="60" spans="4:7" x14ac:dyDescent="0.3">
      <c r="D60" t="s">
        <v>19</v>
      </c>
      <c r="E60" t="s">
        <v>201</v>
      </c>
      <c r="F60">
        <v>117</v>
      </c>
      <c r="G60">
        <v>5441.2</v>
      </c>
    </row>
    <row r="61" spans="4:7" x14ac:dyDescent="0.3">
      <c r="D61" t="s">
        <v>19</v>
      </c>
      <c r="E61" t="s">
        <v>429</v>
      </c>
      <c r="F61">
        <v>13</v>
      </c>
      <c r="G61">
        <v>392.8</v>
      </c>
    </row>
    <row r="62" spans="4:7" x14ac:dyDescent="0.3">
      <c r="D62" t="s">
        <v>19</v>
      </c>
      <c r="E62" t="s">
        <v>72</v>
      </c>
      <c r="F62">
        <v>364</v>
      </c>
      <c r="G62">
        <v>16172.000000000005</v>
      </c>
    </row>
    <row r="63" spans="4:7" x14ac:dyDescent="0.3">
      <c r="D63" t="s">
        <v>19</v>
      </c>
      <c r="E63" t="s">
        <v>74</v>
      </c>
      <c r="F63">
        <v>95</v>
      </c>
      <c r="G63">
        <v>4334.9999999999991</v>
      </c>
    </row>
    <row r="64" spans="4:7" x14ac:dyDescent="0.3">
      <c r="D64" t="s">
        <v>19</v>
      </c>
      <c r="E64" t="s">
        <v>77</v>
      </c>
      <c r="F64">
        <v>737</v>
      </c>
      <c r="G64">
        <v>37449.000000000007</v>
      </c>
    </row>
    <row r="65" spans="4:7" x14ac:dyDescent="0.3">
      <c r="D65" t="s">
        <v>19</v>
      </c>
      <c r="E65" t="s">
        <v>309</v>
      </c>
      <c r="F65">
        <v>39</v>
      </c>
      <c r="G65">
        <v>2447.5</v>
      </c>
    </row>
    <row r="66" spans="4:7" x14ac:dyDescent="0.3">
      <c r="D66" t="s">
        <v>19</v>
      </c>
      <c r="E66" t="s">
        <v>1116</v>
      </c>
      <c r="F66">
        <v>56</v>
      </c>
      <c r="G66">
        <v>3391.1</v>
      </c>
    </row>
    <row r="67" spans="4:7" x14ac:dyDescent="0.3">
      <c r="D67" t="s">
        <v>19</v>
      </c>
      <c r="E67" t="s">
        <v>700</v>
      </c>
      <c r="F67">
        <v>2</v>
      </c>
      <c r="G67">
        <v>30.8</v>
      </c>
    </row>
    <row r="68" spans="4:7" x14ac:dyDescent="0.3">
      <c r="D68" t="s">
        <v>19</v>
      </c>
      <c r="E68" t="s">
        <v>268</v>
      </c>
      <c r="F68">
        <v>8</v>
      </c>
      <c r="G68">
        <v>332.3</v>
      </c>
    </row>
    <row r="69" spans="4:7" x14ac:dyDescent="0.3">
      <c r="D69" t="s">
        <v>19</v>
      </c>
      <c r="E69" t="s">
        <v>377</v>
      </c>
      <c r="F69">
        <v>52</v>
      </c>
      <c r="G69">
        <v>3175.9999999999995</v>
      </c>
    </row>
    <row r="70" spans="4:7" x14ac:dyDescent="0.3">
      <c r="D70" t="s">
        <v>19</v>
      </c>
      <c r="E70" t="s">
        <v>108</v>
      </c>
      <c r="F70">
        <v>295</v>
      </c>
      <c r="G70">
        <v>20939.600000000002</v>
      </c>
    </row>
    <row r="71" spans="4:7" x14ac:dyDescent="0.3">
      <c r="D71" t="s">
        <v>19</v>
      </c>
      <c r="E71" t="s">
        <v>110</v>
      </c>
      <c r="F71">
        <v>195</v>
      </c>
      <c r="G71">
        <v>10185.899999999996</v>
      </c>
    </row>
    <row r="72" spans="4:7" x14ac:dyDescent="0.3">
      <c r="D72" t="s">
        <v>19</v>
      </c>
      <c r="E72" t="s">
        <v>292</v>
      </c>
      <c r="F72">
        <v>20</v>
      </c>
      <c r="G72">
        <v>958.7</v>
      </c>
    </row>
    <row r="73" spans="4:7" x14ac:dyDescent="0.3">
      <c r="D73" t="s">
        <v>19</v>
      </c>
      <c r="E73" t="s">
        <v>79</v>
      </c>
      <c r="F73">
        <v>6</v>
      </c>
      <c r="G73">
        <v>323</v>
      </c>
    </row>
    <row r="74" spans="4:7" x14ac:dyDescent="0.3">
      <c r="D74" t="s">
        <v>19</v>
      </c>
      <c r="E74" t="s">
        <v>608</v>
      </c>
      <c r="F74">
        <v>5</v>
      </c>
      <c r="G74">
        <v>167.70000000000002</v>
      </c>
    </row>
    <row r="75" spans="4:7" x14ac:dyDescent="0.3">
      <c r="D75" t="s">
        <v>19</v>
      </c>
      <c r="E75" t="s">
        <v>113</v>
      </c>
      <c r="F75">
        <v>94</v>
      </c>
      <c r="G75">
        <v>3978.5</v>
      </c>
    </row>
    <row r="76" spans="4:7" x14ac:dyDescent="0.3">
      <c r="D76" t="s">
        <v>19</v>
      </c>
      <c r="E76" t="s">
        <v>997</v>
      </c>
      <c r="F76">
        <v>28</v>
      </c>
      <c r="G76">
        <v>1405</v>
      </c>
    </row>
    <row r="77" spans="4:7" x14ac:dyDescent="0.3">
      <c r="D77" t="s">
        <v>19</v>
      </c>
      <c r="E77" t="s">
        <v>82</v>
      </c>
      <c r="F77">
        <v>179</v>
      </c>
      <c r="G77">
        <v>9869.0999999999985</v>
      </c>
    </row>
    <row r="78" spans="4:7" x14ac:dyDescent="0.3">
      <c r="D78" t="s">
        <v>19</v>
      </c>
      <c r="E78" t="s">
        <v>243</v>
      </c>
      <c r="F78">
        <v>15</v>
      </c>
      <c r="G78">
        <v>615.29999999999995</v>
      </c>
    </row>
    <row r="79" spans="4:7" x14ac:dyDescent="0.3">
      <c r="D79" t="s">
        <v>19</v>
      </c>
      <c r="E79" t="s">
        <v>1911</v>
      </c>
      <c r="F79">
        <v>3</v>
      </c>
      <c r="G79">
        <v>285</v>
      </c>
    </row>
    <row r="80" spans="4:7" x14ac:dyDescent="0.3">
      <c r="D80" t="s">
        <v>2554</v>
      </c>
      <c r="F80">
        <v>11997</v>
      </c>
      <c r="G80">
        <v>649019.79999999981</v>
      </c>
    </row>
  </sheetData>
  <conditionalFormatting sqref="H5">
    <cfRule type="colorScale" priority="2">
      <colorScale>
        <cfvo type="min"/>
        <cfvo type="percentile" val="50"/>
        <cfvo type="max"/>
        <color rgb="FF63BE7B"/>
        <color rgb="FFFFEB84"/>
        <color rgb="FFF8696B"/>
      </colorScale>
    </cfRule>
  </conditionalFormatting>
  <conditionalFormatting sqref="I5:L9">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FE602-8917-4C89-9168-4AFC23AC742A}">
  <dimension ref="P70:X129"/>
  <sheetViews>
    <sheetView topLeftCell="A78" workbookViewId="0">
      <selection activeCell="C31" sqref="C31:D42"/>
    </sheetView>
  </sheetViews>
  <sheetFormatPr defaultRowHeight="14.4" x14ac:dyDescent="0.3"/>
  <cols>
    <col min="1" max="1" width="19.109375" bestFit="1" customWidth="1"/>
    <col min="2" max="2" width="15.5546875" bestFit="1" customWidth="1"/>
    <col min="3" max="3" width="12.44140625" bestFit="1" customWidth="1"/>
    <col min="4" max="4" width="12.21875" bestFit="1" customWidth="1"/>
    <col min="5" max="5" width="8.5546875" bestFit="1" customWidth="1"/>
    <col min="6" max="6" width="10.5546875" bestFit="1" customWidth="1"/>
    <col min="9" max="9" width="12.44140625" bestFit="1" customWidth="1"/>
    <col min="10" max="10" width="14.21875" bestFit="1" customWidth="1"/>
    <col min="11" max="12" width="19.44140625" bestFit="1" customWidth="1"/>
    <col min="13" max="13" width="13.5546875" bestFit="1" customWidth="1"/>
    <col min="14" max="14" width="10.5546875" bestFit="1" customWidth="1"/>
    <col min="16" max="16" width="13.44140625" customWidth="1"/>
    <col min="17" max="17" width="18" customWidth="1"/>
  </cols>
  <sheetData>
    <row r="70" spans="16:24" x14ac:dyDescent="0.3">
      <c r="P70" t="s">
        <v>2574</v>
      </c>
      <c r="Q70" t="s">
        <v>2575</v>
      </c>
      <c r="R70" t="s">
        <v>2576</v>
      </c>
      <c r="U70" t="s">
        <v>2574</v>
      </c>
      <c r="V70" t="s">
        <v>2575</v>
      </c>
      <c r="X70" t="s">
        <v>2577</v>
      </c>
    </row>
    <row r="71" spans="16:24" x14ac:dyDescent="0.3">
      <c r="P71" s="23" t="s">
        <v>19</v>
      </c>
      <c r="Q71" t="s">
        <v>115</v>
      </c>
      <c r="R71">
        <v>579</v>
      </c>
      <c r="U71" s="23" t="s">
        <v>19</v>
      </c>
      <c r="V71" t="s">
        <v>115</v>
      </c>
      <c r="X71">
        <v>31884.999999999996</v>
      </c>
    </row>
    <row r="72" spans="16:24" x14ac:dyDescent="0.3">
      <c r="P72" s="23" t="s">
        <v>19</v>
      </c>
      <c r="Q72" t="s">
        <v>20</v>
      </c>
      <c r="R72">
        <v>1</v>
      </c>
      <c r="U72" s="23" t="s">
        <v>19</v>
      </c>
      <c r="V72" t="s">
        <v>20</v>
      </c>
      <c r="X72">
        <v>10.9</v>
      </c>
    </row>
    <row r="73" spans="16:24" x14ac:dyDescent="0.3">
      <c r="P73" s="23" t="s">
        <v>19</v>
      </c>
      <c r="Q73" t="s">
        <v>641</v>
      </c>
      <c r="R73">
        <v>9</v>
      </c>
      <c r="U73" s="23" t="s">
        <v>19</v>
      </c>
      <c r="V73" t="s">
        <v>641</v>
      </c>
      <c r="X73">
        <v>800.3</v>
      </c>
    </row>
    <row r="74" spans="16:24" x14ac:dyDescent="0.3">
      <c r="P74" s="23" t="s">
        <v>19</v>
      </c>
      <c r="Q74" t="s">
        <v>967</v>
      </c>
      <c r="R74">
        <v>35</v>
      </c>
      <c r="U74" s="23" t="s">
        <v>19</v>
      </c>
      <c r="V74" t="s">
        <v>967</v>
      </c>
      <c r="X74">
        <v>1062.5999999999999</v>
      </c>
    </row>
    <row r="75" spans="16:24" x14ac:dyDescent="0.3">
      <c r="P75" s="23" t="s">
        <v>19</v>
      </c>
      <c r="Q75" t="s">
        <v>84</v>
      </c>
      <c r="R75">
        <v>12</v>
      </c>
      <c r="U75" s="23" t="s">
        <v>19</v>
      </c>
      <c r="V75" t="s">
        <v>84</v>
      </c>
      <c r="X75">
        <v>326.20000000000005</v>
      </c>
    </row>
    <row r="76" spans="16:24" x14ac:dyDescent="0.3">
      <c r="P76" s="23" t="s">
        <v>19</v>
      </c>
      <c r="Q76" t="s">
        <v>1383</v>
      </c>
      <c r="R76">
        <v>4</v>
      </c>
      <c r="U76" s="23" t="s">
        <v>19</v>
      </c>
      <c r="V76" t="s">
        <v>1383</v>
      </c>
      <c r="X76">
        <v>167.5</v>
      </c>
    </row>
    <row r="77" spans="16:24" x14ac:dyDescent="0.3">
      <c r="P77" s="23" t="s">
        <v>19</v>
      </c>
      <c r="Q77" t="s">
        <v>24</v>
      </c>
      <c r="R77">
        <v>341</v>
      </c>
      <c r="U77" s="23" t="s">
        <v>19</v>
      </c>
      <c r="V77" t="s">
        <v>24</v>
      </c>
      <c r="X77">
        <v>16168.7</v>
      </c>
    </row>
    <row r="78" spans="16:24" x14ac:dyDescent="0.3">
      <c r="P78" s="23" t="s">
        <v>19</v>
      </c>
      <c r="Q78" t="s">
        <v>2204</v>
      </c>
      <c r="R78">
        <v>13</v>
      </c>
      <c r="U78" s="23" t="s">
        <v>19</v>
      </c>
      <c r="V78" t="s">
        <v>2204</v>
      </c>
      <c r="X78">
        <v>322.40000000000003</v>
      </c>
    </row>
    <row r="79" spans="16:24" x14ac:dyDescent="0.3">
      <c r="P79" s="23" t="s">
        <v>19</v>
      </c>
      <c r="Q79" t="s">
        <v>437</v>
      </c>
      <c r="R79">
        <v>31</v>
      </c>
      <c r="U79" s="23" t="s">
        <v>19</v>
      </c>
      <c r="V79" t="s">
        <v>437</v>
      </c>
      <c r="X79">
        <v>2092.8000000000002</v>
      </c>
    </row>
    <row r="80" spans="16:24" x14ac:dyDescent="0.3">
      <c r="P80" s="23" t="s">
        <v>19</v>
      </c>
      <c r="Q80" t="s">
        <v>28</v>
      </c>
      <c r="R80">
        <v>279</v>
      </c>
      <c r="U80" s="23" t="s">
        <v>19</v>
      </c>
      <c r="V80" t="s">
        <v>28</v>
      </c>
      <c r="X80">
        <v>12662.500000000002</v>
      </c>
    </row>
    <row r="81" spans="16:24" x14ac:dyDescent="0.3">
      <c r="P81" s="23" t="s">
        <v>19</v>
      </c>
      <c r="Q81" t="s">
        <v>208</v>
      </c>
      <c r="R81">
        <v>9</v>
      </c>
      <c r="U81" s="23" t="s">
        <v>19</v>
      </c>
      <c r="V81" t="s">
        <v>208</v>
      </c>
      <c r="X81">
        <v>343.2</v>
      </c>
    </row>
    <row r="82" spans="16:24" x14ac:dyDescent="0.3">
      <c r="P82" s="23" t="s">
        <v>19</v>
      </c>
      <c r="Q82" t="s">
        <v>587</v>
      </c>
      <c r="R82">
        <v>49</v>
      </c>
      <c r="U82" s="23" t="s">
        <v>19</v>
      </c>
      <c r="V82" t="s">
        <v>587</v>
      </c>
      <c r="X82">
        <v>2188.2999999999997</v>
      </c>
    </row>
    <row r="83" spans="16:24" x14ac:dyDescent="0.3">
      <c r="P83" s="23" t="s">
        <v>19</v>
      </c>
      <c r="Q83" t="s">
        <v>331</v>
      </c>
      <c r="R83">
        <v>59</v>
      </c>
      <c r="U83" s="23" t="s">
        <v>19</v>
      </c>
      <c r="V83" t="s">
        <v>331</v>
      </c>
      <c r="X83">
        <v>2661.5999999999995</v>
      </c>
    </row>
    <row r="84" spans="16:24" x14ac:dyDescent="0.3">
      <c r="P84" s="23" t="s">
        <v>19</v>
      </c>
      <c r="Q84" t="s">
        <v>86</v>
      </c>
      <c r="R84">
        <v>8</v>
      </c>
      <c r="U84" s="23" t="s">
        <v>19</v>
      </c>
      <c r="V84" t="s">
        <v>86</v>
      </c>
      <c r="X84">
        <v>887.5</v>
      </c>
    </row>
    <row r="85" spans="16:24" x14ac:dyDescent="0.3">
      <c r="P85" s="23" t="s">
        <v>19</v>
      </c>
      <c r="Q85" t="s">
        <v>147</v>
      </c>
      <c r="R85">
        <v>222</v>
      </c>
      <c r="U85" s="23" t="s">
        <v>19</v>
      </c>
      <c r="V85" t="s">
        <v>147</v>
      </c>
      <c r="X85">
        <v>11354.199999999993</v>
      </c>
    </row>
    <row r="86" spans="16:24" x14ac:dyDescent="0.3">
      <c r="P86" s="23" t="s">
        <v>19</v>
      </c>
      <c r="Q86" t="s">
        <v>334</v>
      </c>
      <c r="R86">
        <v>36</v>
      </c>
      <c r="U86" s="23" t="s">
        <v>19</v>
      </c>
      <c r="V86" t="s">
        <v>334</v>
      </c>
      <c r="X86">
        <v>1558.4</v>
      </c>
    </row>
    <row r="87" spans="16:24" x14ac:dyDescent="0.3">
      <c r="P87" s="23" t="s">
        <v>19</v>
      </c>
      <c r="Q87" t="s">
        <v>949</v>
      </c>
      <c r="R87">
        <v>30</v>
      </c>
      <c r="U87" s="23" t="s">
        <v>19</v>
      </c>
      <c r="V87" t="s">
        <v>949</v>
      </c>
      <c r="X87">
        <v>2223.9</v>
      </c>
    </row>
    <row r="88" spans="16:24" x14ac:dyDescent="0.3">
      <c r="P88" s="23" t="s">
        <v>19</v>
      </c>
      <c r="Q88" t="s">
        <v>1426</v>
      </c>
      <c r="R88">
        <v>1</v>
      </c>
      <c r="U88" s="23" t="s">
        <v>19</v>
      </c>
      <c r="V88" t="s">
        <v>1426</v>
      </c>
      <c r="X88">
        <v>26.2</v>
      </c>
    </row>
    <row r="89" spans="16:24" x14ac:dyDescent="0.3">
      <c r="P89" s="23" t="s">
        <v>19</v>
      </c>
      <c r="Q89" t="s">
        <v>33</v>
      </c>
      <c r="R89">
        <v>3991</v>
      </c>
      <c r="U89" s="23" t="s">
        <v>19</v>
      </c>
      <c r="V89" t="s">
        <v>33</v>
      </c>
      <c r="X89">
        <v>215551.19999999981</v>
      </c>
    </row>
    <row r="90" spans="16:24" x14ac:dyDescent="0.3">
      <c r="P90" s="23" t="s">
        <v>19</v>
      </c>
      <c r="Q90" t="s">
        <v>364</v>
      </c>
      <c r="R90">
        <v>45</v>
      </c>
      <c r="U90" s="23" t="s">
        <v>19</v>
      </c>
      <c r="V90" t="s">
        <v>364</v>
      </c>
      <c r="X90">
        <v>2687.3999999999996</v>
      </c>
    </row>
    <row r="91" spans="16:24" x14ac:dyDescent="0.3">
      <c r="P91" s="23" t="s">
        <v>19</v>
      </c>
      <c r="Q91" t="s">
        <v>545</v>
      </c>
      <c r="R91">
        <v>39</v>
      </c>
      <c r="U91" s="23" t="s">
        <v>19</v>
      </c>
      <c r="V91" t="s">
        <v>545</v>
      </c>
      <c r="X91">
        <v>1463.3000000000002</v>
      </c>
    </row>
    <row r="92" spans="16:24" x14ac:dyDescent="0.3">
      <c r="P92" s="23" t="s">
        <v>19</v>
      </c>
      <c r="Q92" t="s">
        <v>416</v>
      </c>
      <c r="R92">
        <v>6</v>
      </c>
      <c r="U92" s="23" t="s">
        <v>19</v>
      </c>
      <c r="V92" t="s">
        <v>416</v>
      </c>
      <c r="X92">
        <v>445.79999999999995</v>
      </c>
    </row>
    <row r="93" spans="16:24" x14ac:dyDescent="0.3">
      <c r="P93" s="23" t="s">
        <v>19</v>
      </c>
      <c r="Q93" t="s">
        <v>258</v>
      </c>
      <c r="R93">
        <v>9</v>
      </c>
      <c r="U93" s="23" t="s">
        <v>19</v>
      </c>
      <c r="V93" t="s">
        <v>258</v>
      </c>
      <c r="X93">
        <v>273.59999999999997</v>
      </c>
    </row>
    <row r="94" spans="16:24" x14ac:dyDescent="0.3">
      <c r="P94" s="23" t="s">
        <v>19</v>
      </c>
      <c r="Q94" t="s">
        <v>186</v>
      </c>
      <c r="R94">
        <v>60</v>
      </c>
      <c r="U94" s="23" t="s">
        <v>19</v>
      </c>
      <c r="V94" t="s">
        <v>186</v>
      </c>
      <c r="X94">
        <v>2690.4</v>
      </c>
    </row>
    <row r="95" spans="16:24" x14ac:dyDescent="0.3">
      <c r="P95" s="23" t="s">
        <v>19</v>
      </c>
      <c r="Q95" t="s">
        <v>392</v>
      </c>
      <c r="R95">
        <v>2</v>
      </c>
      <c r="U95" s="23" t="s">
        <v>19</v>
      </c>
      <c r="V95" t="s">
        <v>392</v>
      </c>
      <c r="X95">
        <v>28.4</v>
      </c>
    </row>
    <row r="96" spans="16:24" x14ac:dyDescent="0.3">
      <c r="P96" s="23" t="s">
        <v>19</v>
      </c>
      <c r="Q96" t="s">
        <v>670</v>
      </c>
      <c r="R96">
        <v>4</v>
      </c>
      <c r="U96" s="23" t="s">
        <v>19</v>
      </c>
      <c r="V96" t="s">
        <v>670</v>
      </c>
      <c r="X96">
        <v>204.8</v>
      </c>
    </row>
    <row r="97" spans="16:24" x14ac:dyDescent="0.3">
      <c r="P97" s="23" t="s">
        <v>19</v>
      </c>
      <c r="Q97" t="s">
        <v>802</v>
      </c>
      <c r="R97">
        <v>31</v>
      </c>
      <c r="U97" s="23" t="s">
        <v>19</v>
      </c>
      <c r="V97" t="s">
        <v>802</v>
      </c>
      <c r="X97">
        <v>1607.8999999999999</v>
      </c>
    </row>
    <row r="98" spans="16:24" x14ac:dyDescent="0.3">
      <c r="P98" s="23" t="s">
        <v>19</v>
      </c>
      <c r="Q98" t="s">
        <v>98</v>
      </c>
      <c r="R98">
        <v>88</v>
      </c>
      <c r="U98" s="23" t="s">
        <v>19</v>
      </c>
      <c r="V98" t="s">
        <v>98</v>
      </c>
      <c r="X98">
        <v>6444.9</v>
      </c>
    </row>
    <row r="99" spans="16:24" x14ac:dyDescent="0.3">
      <c r="P99" s="23" t="s">
        <v>19</v>
      </c>
      <c r="Q99" t="s">
        <v>49</v>
      </c>
      <c r="R99">
        <v>25</v>
      </c>
      <c r="U99" s="23" t="s">
        <v>19</v>
      </c>
      <c r="V99" t="s">
        <v>49</v>
      </c>
      <c r="X99">
        <v>1809.3</v>
      </c>
    </row>
    <row r="100" spans="16:24" x14ac:dyDescent="0.3">
      <c r="P100" s="23" t="s">
        <v>19</v>
      </c>
      <c r="Q100" t="s">
        <v>188</v>
      </c>
      <c r="R100">
        <v>178</v>
      </c>
      <c r="U100" s="23" t="s">
        <v>19</v>
      </c>
      <c r="V100" t="s">
        <v>188</v>
      </c>
      <c r="X100">
        <v>9680.399999999996</v>
      </c>
    </row>
    <row r="101" spans="16:24" x14ac:dyDescent="0.3">
      <c r="P101" s="23" t="s">
        <v>19</v>
      </c>
      <c r="Q101" t="s">
        <v>52</v>
      </c>
      <c r="R101">
        <v>141</v>
      </c>
      <c r="U101" s="23" t="s">
        <v>19</v>
      </c>
      <c r="V101" t="s">
        <v>52</v>
      </c>
      <c r="X101">
        <v>9414.7999999999993</v>
      </c>
    </row>
    <row r="102" spans="16:24" x14ac:dyDescent="0.3">
      <c r="P102" s="23" t="s">
        <v>19</v>
      </c>
      <c r="Q102" t="s">
        <v>338</v>
      </c>
      <c r="R102">
        <v>6</v>
      </c>
      <c r="U102" s="23" t="s">
        <v>19</v>
      </c>
      <c r="V102" t="s">
        <v>338</v>
      </c>
      <c r="X102">
        <v>206.1</v>
      </c>
    </row>
    <row r="103" spans="16:24" x14ac:dyDescent="0.3">
      <c r="P103" s="23" t="s">
        <v>19</v>
      </c>
      <c r="Q103" t="s">
        <v>158</v>
      </c>
      <c r="R103">
        <v>178</v>
      </c>
      <c r="U103" s="23" t="s">
        <v>19</v>
      </c>
      <c r="V103" t="s">
        <v>158</v>
      </c>
      <c r="X103">
        <v>7691.3</v>
      </c>
    </row>
    <row r="104" spans="16:24" x14ac:dyDescent="0.3">
      <c r="P104" s="23" t="s">
        <v>19</v>
      </c>
      <c r="Q104" t="s">
        <v>55</v>
      </c>
      <c r="R104">
        <v>699</v>
      </c>
      <c r="U104" s="23" t="s">
        <v>19</v>
      </c>
      <c r="V104" t="s">
        <v>55</v>
      </c>
      <c r="X104">
        <v>37784.900000000016</v>
      </c>
    </row>
    <row r="105" spans="16:24" x14ac:dyDescent="0.3">
      <c r="P105" s="23" t="s">
        <v>19</v>
      </c>
      <c r="Q105" t="s">
        <v>342</v>
      </c>
      <c r="R105">
        <v>23</v>
      </c>
      <c r="U105" s="23" t="s">
        <v>19</v>
      </c>
      <c r="V105" t="s">
        <v>342</v>
      </c>
      <c r="X105">
        <v>1129.7</v>
      </c>
    </row>
    <row r="106" spans="16:24" x14ac:dyDescent="0.3">
      <c r="P106" s="23" t="s">
        <v>19</v>
      </c>
      <c r="Q106" t="s">
        <v>59</v>
      </c>
      <c r="R106">
        <v>356</v>
      </c>
      <c r="U106" s="23" t="s">
        <v>19</v>
      </c>
      <c r="V106" t="s">
        <v>59</v>
      </c>
      <c r="X106">
        <v>20988.9</v>
      </c>
    </row>
    <row r="107" spans="16:24" x14ac:dyDescent="0.3">
      <c r="P107" s="23" t="s">
        <v>19</v>
      </c>
      <c r="Q107" t="s">
        <v>62</v>
      </c>
      <c r="R107">
        <v>1768</v>
      </c>
      <c r="U107" s="23" t="s">
        <v>19</v>
      </c>
      <c r="V107" t="s">
        <v>62</v>
      </c>
      <c r="X107">
        <v>98367.099999999977</v>
      </c>
    </row>
    <row r="108" spans="16:24" x14ac:dyDescent="0.3">
      <c r="P108" s="23" t="s">
        <v>19</v>
      </c>
      <c r="Q108" t="s">
        <v>103</v>
      </c>
      <c r="R108">
        <v>307</v>
      </c>
      <c r="U108" s="23" t="s">
        <v>19</v>
      </c>
      <c r="V108" t="s">
        <v>103</v>
      </c>
      <c r="X108">
        <v>21911.9</v>
      </c>
    </row>
    <row r="109" spans="16:24" x14ac:dyDescent="0.3">
      <c r="P109" s="23" t="s">
        <v>19</v>
      </c>
      <c r="Q109" t="s">
        <v>201</v>
      </c>
      <c r="R109">
        <v>117</v>
      </c>
      <c r="U109" s="23" t="s">
        <v>19</v>
      </c>
      <c r="V109" t="s">
        <v>201</v>
      </c>
      <c r="X109">
        <v>5441.2</v>
      </c>
    </row>
    <row r="110" spans="16:24" x14ac:dyDescent="0.3">
      <c r="P110" s="23" t="s">
        <v>19</v>
      </c>
      <c r="Q110" t="s">
        <v>429</v>
      </c>
      <c r="R110">
        <v>13</v>
      </c>
      <c r="U110" s="23" t="s">
        <v>19</v>
      </c>
      <c r="V110" t="s">
        <v>429</v>
      </c>
      <c r="X110">
        <v>392.8</v>
      </c>
    </row>
    <row r="111" spans="16:24" x14ac:dyDescent="0.3">
      <c r="P111" s="23" t="s">
        <v>19</v>
      </c>
      <c r="Q111" t="s">
        <v>72</v>
      </c>
      <c r="R111">
        <v>364</v>
      </c>
      <c r="U111" s="23" t="s">
        <v>19</v>
      </c>
      <c r="V111" t="s">
        <v>72</v>
      </c>
      <c r="X111">
        <v>16172.000000000005</v>
      </c>
    </row>
    <row r="112" spans="16:24" x14ac:dyDescent="0.3">
      <c r="P112" s="23" t="s">
        <v>19</v>
      </c>
      <c r="Q112" t="s">
        <v>74</v>
      </c>
      <c r="R112">
        <v>95</v>
      </c>
      <c r="U112" s="23" t="s">
        <v>19</v>
      </c>
      <c r="V112" t="s">
        <v>74</v>
      </c>
      <c r="X112">
        <v>4334.9999999999991</v>
      </c>
    </row>
    <row r="113" spans="16:24" x14ac:dyDescent="0.3">
      <c r="P113" s="23" t="s">
        <v>19</v>
      </c>
      <c r="Q113" t="s">
        <v>77</v>
      </c>
      <c r="R113">
        <v>737</v>
      </c>
      <c r="U113" s="23" t="s">
        <v>19</v>
      </c>
      <c r="V113" t="s">
        <v>77</v>
      </c>
      <c r="X113">
        <v>37449.000000000007</v>
      </c>
    </row>
    <row r="114" spans="16:24" x14ac:dyDescent="0.3">
      <c r="P114" s="23" t="s">
        <v>19</v>
      </c>
      <c r="Q114" t="s">
        <v>309</v>
      </c>
      <c r="R114">
        <v>39</v>
      </c>
      <c r="U114" s="23" t="s">
        <v>19</v>
      </c>
      <c r="V114" t="s">
        <v>309</v>
      </c>
      <c r="X114">
        <v>2447.5</v>
      </c>
    </row>
    <row r="115" spans="16:24" x14ac:dyDescent="0.3">
      <c r="P115" s="23" t="s">
        <v>19</v>
      </c>
      <c r="Q115" t="s">
        <v>1116</v>
      </c>
      <c r="R115">
        <v>56</v>
      </c>
      <c r="U115" s="23" t="s">
        <v>19</v>
      </c>
      <c r="V115" t="s">
        <v>1116</v>
      </c>
      <c r="X115">
        <v>3391.1</v>
      </c>
    </row>
    <row r="116" spans="16:24" x14ac:dyDescent="0.3">
      <c r="P116" s="23" t="s">
        <v>19</v>
      </c>
      <c r="Q116" t="s">
        <v>700</v>
      </c>
      <c r="R116">
        <v>2</v>
      </c>
      <c r="U116" s="23" t="s">
        <v>19</v>
      </c>
      <c r="V116" t="s">
        <v>700</v>
      </c>
      <c r="X116">
        <v>30.8</v>
      </c>
    </row>
    <row r="117" spans="16:24" x14ac:dyDescent="0.3">
      <c r="P117" s="23" t="s">
        <v>19</v>
      </c>
      <c r="Q117" t="s">
        <v>268</v>
      </c>
      <c r="R117">
        <v>8</v>
      </c>
      <c r="U117" s="23" t="s">
        <v>19</v>
      </c>
      <c r="V117" t="s">
        <v>268</v>
      </c>
      <c r="X117">
        <v>332.3</v>
      </c>
    </row>
    <row r="118" spans="16:24" x14ac:dyDescent="0.3">
      <c r="P118" s="23" t="s">
        <v>19</v>
      </c>
      <c r="Q118" t="s">
        <v>377</v>
      </c>
      <c r="R118">
        <v>52</v>
      </c>
      <c r="U118" s="23" t="s">
        <v>19</v>
      </c>
      <c r="V118" t="s">
        <v>377</v>
      </c>
      <c r="X118">
        <v>3175.9999999999995</v>
      </c>
    </row>
    <row r="119" spans="16:24" x14ac:dyDescent="0.3">
      <c r="P119" s="23" t="s">
        <v>19</v>
      </c>
      <c r="Q119" t="s">
        <v>108</v>
      </c>
      <c r="R119">
        <v>295</v>
      </c>
      <c r="U119" s="23" t="s">
        <v>19</v>
      </c>
      <c r="V119" t="s">
        <v>108</v>
      </c>
      <c r="X119">
        <v>20939.600000000002</v>
      </c>
    </row>
    <row r="120" spans="16:24" x14ac:dyDescent="0.3">
      <c r="P120" s="23" t="s">
        <v>19</v>
      </c>
      <c r="Q120" t="s">
        <v>110</v>
      </c>
      <c r="R120">
        <v>195</v>
      </c>
      <c r="U120" s="23" t="s">
        <v>19</v>
      </c>
      <c r="V120" t="s">
        <v>110</v>
      </c>
      <c r="X120">
        <v>10185.899999999996</v>
      </c>
    </row>
    <row r="121" spans="16:24" x14ac:dyDescent="0.3">
      <c r="P121" s="23" t="s">
        <v>19</v>
      </c>
      <c r="Q121" t="s">
        <v>292</v>
      </c>
      <c r="R121">
        <v>20</v>
      </c>
      <c r="U121" s="23" t="s">
        <v>19</v>
      </c>
      <c r="V121" t="s">
        <v>292</v>
      </c>
      <c r="X121">
        <v>958.7</v>
      </c>
    </row>
    <row r="122" spans="16:24" x14ac:dyDescent="0.3">
      <c r="P122" s="23" t="s">
        <v>19</v>
      </c>
      <c r="Q122" t="s">
        <v>79</v>
      </c>
      <c r="R122">
        <v>6</v>
      </c>
      <c r="U122" s="23" t="s">
        <v>19</v>
      </c>
      <c r="V122" t="s">
        <v>79</v>
      </c>
      <c r="X122">
        <v>323</v>
      </c>
    </row>
    <row r="123" spans="16:24" x14ac:dyDescent="0.3">
      <c r="P123" s="23" t="s">
        <v>19</v>
      </c>
      <c r="Q123" t="s">
        <v>608</v>
      </c>
      <c r="R123">
        <v>5</v>
      </c>
      <c r="U123" s="23" t="s">
        <v>19</v>
      </c>
      <c r="V123" t="s">
        <v>608</v>
      </c>
      <c r="X123">
        <v>167.70000000000002</v>
      </c>
    </row>
    <row r="124" spans="16:24" x14ac:dyDescent="0.3">
      <c r="P124" s="23" t="s">
        <v>19</v>
      </c>
      <c r="Q124" t="s">
        <v>113</v>
      </c>
      <c r="R124">
        <v>94</v>
      </c>
      <c r="U124" s="23" t="s">
        <v>19</v>
      </c>
      <c r="V124" t="s">
        <v>113</v>
      </c>
      <c r="X124">
        <v>3978.5</v>
      </c>
    </row>
    <row r="125" spans="16:24" x14ac:dyDescent="0.3">
      <c r="P125" s="23" t="s">
        <v>19</v>
      </c>
      <c r="Q125" t="s">
        <v>997</v>
      </c>
      <c r="R125">
        <v>28</v>
      </c>
      <c r="U125" s="23" t="s">
        <v>19</v>
      </c>
      <c r="V125" t="s">
        <v>997</v>
      </c>
      <c r="X125">
        <v>1405</v>
      </c>
    </row>
    <row r="126" spans="16:24" x14ac:dyDescent="0.3">
      <c r="P126" s="23" t="s">
        <v>19</v>
      </c>
      <c r="Q126" t="s">
        <v>82</v>
      </c>
      <c r="R126">
        <v>179</v>
      </c>
      <c r="U126" s="23" t="s">
        <v>19</v>
      </c>
      <c r="V126" t="s">
        <v>82</v>
      </c>
      <c r="X126">
        <v>9869.0999999999985</v>
      </c>
    </row>
    <row r="127" spans="16:24" x14ac:dyDescent="0.3">
      <c r="P127" s="23" t="s">
        <v>19</v>
      </c>
      <c r="Q127" t="s">
        <v>243</v>
      </c>
      <c r="R127">
        <v>15</v>
      </c>
      <c r="U127" s="23" t="s">
        <v>19</v>
      </c>
      <c r="V127" t="s">
        <v>243</v>
      </c>
      <c r="X127">
        <v>615.29999999999995</v>
      </c>
    </row>
    <row r="128" spans="16:24" x14ac:dyDescent="0.3">
      <c r="P128" s="20" t="s">
        <v>19</v>
      </c>
      <c r="Q128" t="s">
        <v>1911</v>
      </c>
      <c r="R128">
        <v>3</v>
      </c>
      <c r="U128" s="20" t="s">
        <v>19</v>
      </c>
      <c r="V128" t="s">
        <v>1911</v>
      </c>
      <c r="X128">
        <v>285</v>
      </c>
    </row>
    <row r="129" spans="16:24" x14ac:dyDescent="0.3">
      <c r="P129" s="13" t="s">
        <v>2554</v>
      </c>
      <c r="Q129" s="13"/>
      <c r="R129" s="13">
        <v>11997</v>
      </c>
      <c r="U129" s="13" t="s">
        <v>2554</v>
      </c>
      <c r="V129" s="13"/>
      <c r="X129" s="13">
        <v>649019.79999999981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workbookViewId="0">
      <selection activeCell="B8" sqref="B8"/>
    </sheetView>
  </sheetViews>
  <sheetFormatPr defaultRowHeight="14.4" x14ac:dyDescent="0.3"/>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s>
  <sheetData>
    <row r="1" spans="1:15" x14ac:dyDescent="0.3">
      <c r="A1" t="s">
        <v>0</v>
      </c>
      <c r="B1" t="s">
        <v>1</v>
      </c>
      <c r="C1" t="s">
        <v>2</v>
      </c>
      <c r="D1" t="s">
        <v>3</v>
      </c>
      <c r="E1" t="s">
        <v>4</v>
      </c>
      <c r="F1" t="s">
        <v>5</v>
      </c>
      <c r="G1" t="s">
        <v>6</v>
      </c>
      <c r="H1" t="s">
        <v>7</v>
      </c>
      <c r="I1" t="s">
        <v>8</v>
      </c>
      <c r="J1" t="s">
        <v>9</v>
      </c>
      <c r="K1" t="s">
        <v>10</v>
      </c>
      <c r="L1" t="s">
        <v>11</v>
      </c>
      <c r="M1" s="2" t="s">
        <v>12</v>
      </c>
      <c r="N1" s="2" t="s">
        <v>13</v>
      </c>
      <c r="O1" s="2" t="s">
        <v>14</v>
      </c>
    </row>
    <row r="2" spans="1:15" x14ac:dyDescent="0.3">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3">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3">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3">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3">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3">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3">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3">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3">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3">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3">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3">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3">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3">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3">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3">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3">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3">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3">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3">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3">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3">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3">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3">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3">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3">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3">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3">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3">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3">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3">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3">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3">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3">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3">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3">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3">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3">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3">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3">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3">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3">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3">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3">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3">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3">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3">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3">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3">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3">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3">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3">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3">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3">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3">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3">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3">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3">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3">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3">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3">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3">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3">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3">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3">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3">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3">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3">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3">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3">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3">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3">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3">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3">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3">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3">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3">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3">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3">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3">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3">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3">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3">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3">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3">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3">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3">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3">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3">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3">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3">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3">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3">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3">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3">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3">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3">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3">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3">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3">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3">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3">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3">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3">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3">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3">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3">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3">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3">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3">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3">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3">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3">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3">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3">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3">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3">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3">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3">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3">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3">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3">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3">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3">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3">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3">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3">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3">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3">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3">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3">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3">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3">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3">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3">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3">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3">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3">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3">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3">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3">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3">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3">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3">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3">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3">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3">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3">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3">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3">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3">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3">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3">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3">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3">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3">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3">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3">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3">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3">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3">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3">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3">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3">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3">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3">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3">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3">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3">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3">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3">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3">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3">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3">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3">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3">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3">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3">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3">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3">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3">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3">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3">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3">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3">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3">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3">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3">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3">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3">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3">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3">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3">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3">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3">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3">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3">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3">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3">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3">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3">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3">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3">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3">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3">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3">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3">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3">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3">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3">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3">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3">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3">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3">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3">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3">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3">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3">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3">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3">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3">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3">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3">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3">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3">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3">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3">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3">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3">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3">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3">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3">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3">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3">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3">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3">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3">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3">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3">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3">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3">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3">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3">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3">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3">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3">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3">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3">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3">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3">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3">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3">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3">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3">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3">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3">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3">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3">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3">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3">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3">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3">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3">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3">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3">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3">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3">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3">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3">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3">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3">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3">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3">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3">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3">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3">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3">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3">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3">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3">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3">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3">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3">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3">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3">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3">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3">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3">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3">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3">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3">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3">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3">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3">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3">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3">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3">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3">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3">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3">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3">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3">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3">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3">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3">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3">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3">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3">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3">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3">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3">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3">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3">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3">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3">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3">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3">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3">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3">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3">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3">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3">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3">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3">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3">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3">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3">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3">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3">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3">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3">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3">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3">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3">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3">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3">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3">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3">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3">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3">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3">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3">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3">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3">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3">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3">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3">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3">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3">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3">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3">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3">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3">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3">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3">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3">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3">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3">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3">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3">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3">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3">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3">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3">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3">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3">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3">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3">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3">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3">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3">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3">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3">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3">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3">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3">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3">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3">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3">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3">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3">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3">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3">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3">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3">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3">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3">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3">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3">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3">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3">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3">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3">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3">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3">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3">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3">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3">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3">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3">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3">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3">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3">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3">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3">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3">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3">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3">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3">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3">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3">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3">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3">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3">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3">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3">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3">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3">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3">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3">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3">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3">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3">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3">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3">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3">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3">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3">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3">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3">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3">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3">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3">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3">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3">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3">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3">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3">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3">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3">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3">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3">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3">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3">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3">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3">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3">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3">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3">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3">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3">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3">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3">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3">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3">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3">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3">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3">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3">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3">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3">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3">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3">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3">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3">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3">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3">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3">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3">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3">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3">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3">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3">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3">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3">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3">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3">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3">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3">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3">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3">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3">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3">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3">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3">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3">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3">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3">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3">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3">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3">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3">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3">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3">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3">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3">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3">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3">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3">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3">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3">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3">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3">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3">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3">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3">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3">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3">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3">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3">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3">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3">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3">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3">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3">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3">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3">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3">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3">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3">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3">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3">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3">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3">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3">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3">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3">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3">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3">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3">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3">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3">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3">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3">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3">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3">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3">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3">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3">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3">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3">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3">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3">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3">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3">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3">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3">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3">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3">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3">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3">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3">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3">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3">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3">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3">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3">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3">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3">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3">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3">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3">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3">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3">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3">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3">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3">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3">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3">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3">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3">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3">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3">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3">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3">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3">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3">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3">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3">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3">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3">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3">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3">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3">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3">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3">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3">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3">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3">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3">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3">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3">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3">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3">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3">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3">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3">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3">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3">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3">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3">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3">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3">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3">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3">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3">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3">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3">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3">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3">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3">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3">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3">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3">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3">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3">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3">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3">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3">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3">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3">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3">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3">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3">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3">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3">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3">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3">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3">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3">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3">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3">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3">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3">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3">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3">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3">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3">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3">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3">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3">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3">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3">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3">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3">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3">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3">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3">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3">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3">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3">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3">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3">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3">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3">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3">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3">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3">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3">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3">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3">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3">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3">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3">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3">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3">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3">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3">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3">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3">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3">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3">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3">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3">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3">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3">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3">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3">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3">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3">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3">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3">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3">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3">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3">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3">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3">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3">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3">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3">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3">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3">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3">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3">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3">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3">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3">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3">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3">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3">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3">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3">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3">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3">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3">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3">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3">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3">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3">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3">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3">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3">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3">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3">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3">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3">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3">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3">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3">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3">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3">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3">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3">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3">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3">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3">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3">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3">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3">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3">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3">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3">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3">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3">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3">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3">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3">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3">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3">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3">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3">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3">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3">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3">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3">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3">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3">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3">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3">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3">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3">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3">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3">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3">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3">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3">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3">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3">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3">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3">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3">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3">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3">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3">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3">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3">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3">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3">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3">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3">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3">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3">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3">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3">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3">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3">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3">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3">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3">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3">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3">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3">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3">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3">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3">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3">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3">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3">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3">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3">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3">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3">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3">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3">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3">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3">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3">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3">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3">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3">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3">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3">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3">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3">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3">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3">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3">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3">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3">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3">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3">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3">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3">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3">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3">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3">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3">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3">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3">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3">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3">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3">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3">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3">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3">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3">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3">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3">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3">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3">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3">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3">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3">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3">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3">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3">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3">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3">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3">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3">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3">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3">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3">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3">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3">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3">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3">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3">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3">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3">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3">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3">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3">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3">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3">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3">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3">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3">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3">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3">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3">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3">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3">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3">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3">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3">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3">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3">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3">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3">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3">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3">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3">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3">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3">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3">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3">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3">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3">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3">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3">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3">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3">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3">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3">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3">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3">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3">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3">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3">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3">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3">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3">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3">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3">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3">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3">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3">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3">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3">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3">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3">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3">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3">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3">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3">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3">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3">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3">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3">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3">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3">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3">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3">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3">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3">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3">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3">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3">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3">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3">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3">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3">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3">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3">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3">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3">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3">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3">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3">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3">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3">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3">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3">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3">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3">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3">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3">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3">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3">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3">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3">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3">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3">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3">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3">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3">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3">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3">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3">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3">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3">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3">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3">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3">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3">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3">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3">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3">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3">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3">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3">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3">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3">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3">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3">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3">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3">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3">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3">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3">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3">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3">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3">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3">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3">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3">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3">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3">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3">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3">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3">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3">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3">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3">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3">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3">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3">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3">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3">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3">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3">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3">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3">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3">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3">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3">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3">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3">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3">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3">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3">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3">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3">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3">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3">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3">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3">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3">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3">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3">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3">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3">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3">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3">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3">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3">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3">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3">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3">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3">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3">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3">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3">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3">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3">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3">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3">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3">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3">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3">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3">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3">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3">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3">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3">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3">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3">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3">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3">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3">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3">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3">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3">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3">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3">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3">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3">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3">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3">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3">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3">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3">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3">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3">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3">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3">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3">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3">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3">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3">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3">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3">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3">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3">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3">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3">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3">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3">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3">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3">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3">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3">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3">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3">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3">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3">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3">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3">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3">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3">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3">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3">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3">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3">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3">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3">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3">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3">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3">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3">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3">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3">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3">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3">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3">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3">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3">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3">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3">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3">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3">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3">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3">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3">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3">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3">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3">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3">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3">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3">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3">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3">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3">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3">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3">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3">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3">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3">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3">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3">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3">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3">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3">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3">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3">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3">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3">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3">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3">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3">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3">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3">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3">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3">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3">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3">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3">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3">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3">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3">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3">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3">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3">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3">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3">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3">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3">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3">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3">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3">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3">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3">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3">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3">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3">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3">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3">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3">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3">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3">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3">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3">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3">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3">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3">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3">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3">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3">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3">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3">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3">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3">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3">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3">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3">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3">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3">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3">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3">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3">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3">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3">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3">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3">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3">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3">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3">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3">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3">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3">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3">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3">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3">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3">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3">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3">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3">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3">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3">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3">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3">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3">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3">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3">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3">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3">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3">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3">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3">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3">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3">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3">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3">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3">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3">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3">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3">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3">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3">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3">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3">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3">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3">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3">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3">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3">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3">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3">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3">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3">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3">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3">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3">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3">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3">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3">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3">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3">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3">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3">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3">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3">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3">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3">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3">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3">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3">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3">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3">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3">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3">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3">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3">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3">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3">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3">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3">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3">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3">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3">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3">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3">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3">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3">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3">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3">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3">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3">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3">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3">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3">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3">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3">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3">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3">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3">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3">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3">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3">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3">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3">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3">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3">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3">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3">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3">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3">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3">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3">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3">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3">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3">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3">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3">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3">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3">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3">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3">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3">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3">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3">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3">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3">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3">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3">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3">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3">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3">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3">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3">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3">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3">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3">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3">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3">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3">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3">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3">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3">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3">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3">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3">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3">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3">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3">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3">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3">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3">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3">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3">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3">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3">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3">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3">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3">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3">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3">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3">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3">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3">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3">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3">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3">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3">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3">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3">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3">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3">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3">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3">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3">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3">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3">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3">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3">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3">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3">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3">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3">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3">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3">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3">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3">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3">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3">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3">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3">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3">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3">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3">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3">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3">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3">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3">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3">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3">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3">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3">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3">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3">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3">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3">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3">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3">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3">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3">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3">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3">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3">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3">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3">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3">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3">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3">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3">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3">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3">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3">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3">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3">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3">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3">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3">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3">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3">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3">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3">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3">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3">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3">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3">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3">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3">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3">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3">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3">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3">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3">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3">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3">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3">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3">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3">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3">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3">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3">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3">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3">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3">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3">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3">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3">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3">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3">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3">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3">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3">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3">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3">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3">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3">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3">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3">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3">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3">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3">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3">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3">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3">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3">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3">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3">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3">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3">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3">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3">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3">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3">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3">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3">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3">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3">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3">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3">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3">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3">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3">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3">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3">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3">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3">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3">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3">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3">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3">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3">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3">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3">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3">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3">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3">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3">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3">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3">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3">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3">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3">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3">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3">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3">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3">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3">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3">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3">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3">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3">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3">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3">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3">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3">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3">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3">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3">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3">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3">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3">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3">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3">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3">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3">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3">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3">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3">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3">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3">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3">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3">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3">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3">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3">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3">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3">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3">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3">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3">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3">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3">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3">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3">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3">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3">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3">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3">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3">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3">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3">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3">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3">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3">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3">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3">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3">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3">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3">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3">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3">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3">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3">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3">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3">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3">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3">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3">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3">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3">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3">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3">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3">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3">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3">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3">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3">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3">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3">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3">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3">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3">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3">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3">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3">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3">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3">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3">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3">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3">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3">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3">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3">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3">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3">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3">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3">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3">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3">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3">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3">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3">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3">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3">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3">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3">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3">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3">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3">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3">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3">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3">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3">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3">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3">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3">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3">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3">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3">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3">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3">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3">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3">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3">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3">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3">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3">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3">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3">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3">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3">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3">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3">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3">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3">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3">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3">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3">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3">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3">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3">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3">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3">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3">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3">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3">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3">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3">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3">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3">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3">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3">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3">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3">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3">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3">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3">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3">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3">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3">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3">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3">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3">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3">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3">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3">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3">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3">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3">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3">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3">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3">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3">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3">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3">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3">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3">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3">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3">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3">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3">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3">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3">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3">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3">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3">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3">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3">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3">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3">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3">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3">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3">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3">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3">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3">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3">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3">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3">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3">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3">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3">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3">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3">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3">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3">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3">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3">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3">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3">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3">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3">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3">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3">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3">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3">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3">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3">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3">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3">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3">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3">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3">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3">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3">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3">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3">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3">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3">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3">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3">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3">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3">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3">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3">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3">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3">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3">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3">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3">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3">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3">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3">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3">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3">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3">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3">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3">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3">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3">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3">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3">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3">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3">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3">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3">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3">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3">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3">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3">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3">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3">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3">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3">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3">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3">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3">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3">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3">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3">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3">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3">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3">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3">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3">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3">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3">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3">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3">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3">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3">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3">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3">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3">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3">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3">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3">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3">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3">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3">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3">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3">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3">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3">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3">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3">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3">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3">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3">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3">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3">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3">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3">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3">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3">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3">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3">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3">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3">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3">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3">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3">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3">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3">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3">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3">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3">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3">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3">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3">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3">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3">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3">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3">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3">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3">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3">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3">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3">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3">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3">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3">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3">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3">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3">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3">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3">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3">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3">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3">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3">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3">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3">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3">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3">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3">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3">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3">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3">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3">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3">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3">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3">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3">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3">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3">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3">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3">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3">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3">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3">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3">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3">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3">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3">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3">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3">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3">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3">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3">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3">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3">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3">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3">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3">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3">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3">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3">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3">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3">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3">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3">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3">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3">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3">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3">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3">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3">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3">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3">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3">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3">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3">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3">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3">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3">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3">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3">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3">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3">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3">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3">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3">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3">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3">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3">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3">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3">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3">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3">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3">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3">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3">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3">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3">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3">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3">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3">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3">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3">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3">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3">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3">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3">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3">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3">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3">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3">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3">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3">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3">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3">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3">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3">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3">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3">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3">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3">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3">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3">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3">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3">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3">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3">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3">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3">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3">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3">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3">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3">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3">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3">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3">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3">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3">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3">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3">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3">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3">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3">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3">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3">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3">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3">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3">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3">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3">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3">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3">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3">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3">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3">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3">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3">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3">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3">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3">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3">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3">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3">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3">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3">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3">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3">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3">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3">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3">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3">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3">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3">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3">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3">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3">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3">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3">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3">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3">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3">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3">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3">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3">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3">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3">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3">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3">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3">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3">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3">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3">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3">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3">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3">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3">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3">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3">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3">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3">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3">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3">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3">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3">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3">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3">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3">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3">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3">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3">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3">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3">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3">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3">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3">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3">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3">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3">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3">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3">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3">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3">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3">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3">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3">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3">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3">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3">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3">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3">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3">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3">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3">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3">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3">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3">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3">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3">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3">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3">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3">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3">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3">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3">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3">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3">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3">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3">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3">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3">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3">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3">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3">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3">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3">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3">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3">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3">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3">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3">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3">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3">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3">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3">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3">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3">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3">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3">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3">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3">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3">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3">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3">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3">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3">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3">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3">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3">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3">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3">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3">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3">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3">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3">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3">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3">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3">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3">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3">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3">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3">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3">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3">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3">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3">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3">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3">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3">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3">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3">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3">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3">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3">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3">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3">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3">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3">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3">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3">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3">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3">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3">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3">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3">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3">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3">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3">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3">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3">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3">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3">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3">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3">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3">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3">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3">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3">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3">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3">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3">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3">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3">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3">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3">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3">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3">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3">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3">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3">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3">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3">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3">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3">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3">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3">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3">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3">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3">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3">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3">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3">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3">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3">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3">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3">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3">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3">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3">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3">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3">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3">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3">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3">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3">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3">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3">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3">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3">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3">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3">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3">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3">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3">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3">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3">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3">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3">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3">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3">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3">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3">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3">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3">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3">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3">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3">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3">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3">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3">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3">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3">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3">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3">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3">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3">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3">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3">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3">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3">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3">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3">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3">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3">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3">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3">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3">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3">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3">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3">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3">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3">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3">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3">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3">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3">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3">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3">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3">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3">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3">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3">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3">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3">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3">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3">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3">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3">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3">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3">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3">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3">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3">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3">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3">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3">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3">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3">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3">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3">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3">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3">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3">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3">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3">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3">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3">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3">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3">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3">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3">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3">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3">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3">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3">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3">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3">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3">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3">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3">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3">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3">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3">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3">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3">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3">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3">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3">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3">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3">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3">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3">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3">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3">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3">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3">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3">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3">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3">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3">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3">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3">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3">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3">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3">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3">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3">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3">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3">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3">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3">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3">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3">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3">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3">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3">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3">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3">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3">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3">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3">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3">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3">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3">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3">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3">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3">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3">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3">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3">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3">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3">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3">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3">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3">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3">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3">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3">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3">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3">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3">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3">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3">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3">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3">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3">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3">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3">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3">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3">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3">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3">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3">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3">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3">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3">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3">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3">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3">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3">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3">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3">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3">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3">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3">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3">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3">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3">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3">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3">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3">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3">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3">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3">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3">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3">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3">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3">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3">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3">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3">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3">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3">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3">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3">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3">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3">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3">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3">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3">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3">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3">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3">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3">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3">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3">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3">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3">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3">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3">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3">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3">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3">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3">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3">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3">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3">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3">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3">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3">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3">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3">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3">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3">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3">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3">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3">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3">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workbookViewId="0">
      <selection activeCell="B12" sqref="B12"/>
    </sheetView>
  </sheetViews>
  <sheetFormatPr defaultRowHeight="14.4" x14ac:dyDescent="0.3"/>
  <cols>
    <col min="1" max="1" width="3.6640625" customWidth="1"/>
    <col min="2" max="2" width="52.77734375" customWidth="1"/>
  </cols>
  <sheetData>
    <row r="2" spans="2:2" x14ac:dyDescent="0.3">
      <c r="B2" s="3" t="s">
        <v>2503</v>
      </c>
    </row>
    <row r="3" spans="2:2" x14ac:dyDescent="0.3">
      <c r="B3" s="4" t="s">
        <v>2504</v>
      </c>
    </row>
    <row r="4" spans="2:2" x14ac:dyDescent="0.3">
      <c r="B4" s="4" t="s">
        <v>2505</v>
      </c>
    </row>
    <row r="5" spans="2:2" x14ac:dyDescent="0.3">
      <c r="B5" s="4" t="s">
        <v>2506</v>
      </c>
    </row>
    <row r="6" spans="2:2" x14ac:dyDescent="0.3">
      <c r="B6" s="4" t="s">
        <v>2507</v>
      </c>
    </row>
    <row r="7" spans="2:2" x14ac:dyDescent="0.3">
      <c r="B7" s="4" t="s">
        <v>2508</v>
      </c>
    </row>
    <row r="10" spans="2:2" x14ac:dyDescent="0.3">
      <c r="B10" s="3" t="s">
        <v>2509</v>
      </c>
    </row>
    <row r="11" spans="2:2" x14ac:dyDescent="0.3">
      <c r="B11" t="s">
        <v>2510</v>
      </c>
    </row>
    <row r="12" spans="2:2" x14ac:dyDescent="0.3">
      <c r="B12" t="s">
        <v>2511</v>
      </c>
    </row>
    <row r="13" spans="2:2" x14ac:dyDescent="0.3">
      <c r="B13" t="s">
        <v>2512</v>
      </c>
    </row>
    <row r="14" spans="2:2" x14ac:dyDescent="0.3">
      <c r="B14" t="s">
        <v>2513</v>
      </c>
    </row>
    <row r="15" spans="2:2" x14ac:dyDescent="0.3">
      <c r="B15" t="s">
        <v>2514</v>
      </c>
    </row>
    <row r="16" spans="2:2" x14ac:dyDescent="0.3">
      <c r="B16" t="s">
        <v>2515</v>
      </c>
    </row>
    <row r="17" spans="2:2" x14ac:dyDescent="0.3">
      <c r="B17" t="s">
        <v>2516</v>
      </c>
    </row>
    <row r="18" spans="2:2" x14ac:dyDescent="0.3">
      <c r="B18" t="s">
        <v>2517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8FF67-6F2A-40D1-BD8F-FC8AD44723FB}">
  <dimension ref="A1"/>
  <sheetViews>
    <sheetView workbookViewId="0">
      <selection activeCell="AE6" sqref="AE6"/>
    </sheetView>
  </sheetViews>
  <sheetFormatPr defaultRowHeight="14.4" x14ac:dyDescent="0.3"/>
  <cols>
    <col min="1" max="1" width="3.33203125" customWidth="1"/>
    <col min="2" max="2" width="22.21875" customWidth="1"/>
    <col min="3" max="4" width="3.33203125" customWidth="1"/>
    <col min="26" max="26" width="3.33203125" customWidth="1"/>
  </cols>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1D30B-60E4-4685-B421-10EFD7769A97}">
  <dimension ref="B2:H24"/>
  <sheetViews>
    <sheetView workbookViewId="0">
      <selection activeCell="B18" sqref="B18"/>
    </sheetView>
  </sheetViews>
  <sheetFormatPr defaultRowHeight="14.4" x14ac:dyDescent="0.3"/>
  <cols>
    <col min="1" max="1" width="3.33203125" customWidth="1"/>
    <col min="8" max="8" width="37.33203125" customWidth="1"/>
  </cols>
  <sheetData>
    <row r="2" spans="2:8" x14ac:dyDescent="0.3">
      <c r="H2" t="s">
        <v>2548</v>
      </c>
    </row>
    <row r="3" spans="2:8" x14ac:dyDescent="0.3">
      <c r="B3" t="s">
        <v>2518</v>
      </c>
    </row>
    <row r="4" spans="2:8" x14ac:dyDescent="0.3">
      <c r="H4" s="11" t="s">
        <v>2549</v>
      </c>
    </row>
    <row r="5" spans="2:8" x14ac:dyDescent="0.3">
      <c r="B5" t="s">
        <v>2519</v>
      </c>
      <c r="H5" s="11" t="s">
        <v>2550</v>
      </c>
    </row>
    <row r="6" spans="2:8" x14ac:dyDescent="0.3">
      <c r="B6" s="5"/>
      <c r="C6" t="s">
        <v>2520</v>
      </c>
      <c r="D6" t="s">
        <v>2526</v>
      </c>
      <c r="H6" t="s">
        <v>2551</v>
      </c>
    </row>
    <row r="7" spans="2:8" x14ac:dyDescent="0.3">
      <c r="B7" s="6"/>
      <c r="C7" t="s">
        <v>2521</v>
      </c>
      <c r="D7" t="s">
        <v>2527</v>
      </c>
    </row>
    <row r="8" spans="2:8" x14ac:dyDescent="0.3">
      <c r="B8" s="7"/>
      <c r="C8" t="s">
        <v>2522</v>
      </c>
      <c r="D8" t="s">
        <v>2528</v>
      </c>
    </row>
    <row r="9" spans="2:8" x14ac:dyDescent="0.3">
      <c r="B9" s="8"/>
      <c r="C9" t="s">
        <v>2523</v>
      </c>
      <c r="D9" t="s">
        <v>2529</v>
      </c>
    </row>
    <row r="10" spans="2:8" x14ac:dyDescent="0.3">
      <c r="B10" s="9"/>
      <c r="C10" t="s">
        <v>2524</v>
      </c>
      <c r="D10" t="s">
        <v>2530</v>
      </c>
    </row>
    <row r="11" spans="2:8" x14ac:dyDescent="0.3">
      <c r="B11" s="2"/>
      <c r="C11" t="s">
        <v>2525</v>
      </c>
      <c r="D11" t="s">
        <v>2531</v>
      </c>
    </row>
    <row r="13" spans="2:8" x14ac:dyDescent="0.3">
      <c r="B13" t="s">
        <v>2532</v>
      </c>
    </row>
    <row r="14" spans="2:8" x14ac:dyDescent="0.3">
      <c r="B14" t="s">
        <v>2533</v>
      </c>
      <c r="C14" t="s">
        <v>2538</v>
      </c>
    </row>
    <row r="15" spans="2:8" x14ac:dyDescent="0.3">
      <c r="B15" t="s">
        <v>2534</v>
      </c>
      <c r="C15" t="s">
        <v>2</v>
      </c>
    </row>
    <row r="16" spans="2:8" x14ac:dyDescent="0.3">
      <c r="B16" t="s">
        <v>2535</v>
      </c>
      <c r="C16" t="s">
        <v>4</v>
      </c>
    </row>
    <row r="17" spans="2:3" x14ac:dyDescent="0.3">
      <c r="B17" t="s">
        <v>2536</v>
      </c>
      <c r="C17" t="s">
        <v>2539</v>
      </c>
    </row>
    <row r="18" spans="2:3" x14ac:dyDescent="0.3">
      <c r="B18" t="s">
        <v>2537</v>
      </c>
      <c r="C18" t="s">
        <v>2540</v>
      </c>
    </row>
    <row r="21" spans="2:3" x14ac:dyDescent="0.3">
      <c r="B21" t="s">
        <v>2541</v>
      </c>
    </row>
    <row r="22" spans="2:3" x14ac:dyDescent="0.3">
      <c r="B22" t="s">
        <v>2542</v>
      </c>
      <c r="C22" t="s">
        <v>2543</v>
      </c>
    </row>
    <row r="23" spans="2:3" x14ac:dyDescent="0.3">
      <c r="B23" t="s">
        <v>2544</v>
      </c>
      <c r="C23" t="s">
        <v>2545</v>
      </c>
    </row>
    <row r="24" spans="2:3" x14ac:dyDescent="0.3">
      <c r="B24" s="10" t="s">
        <v>2546</v>
      </c>
      <c r="C24" t="s">
        <v>2547</v>
      </c>
    </row>
  </sheetData>
  <phoneticPr fontId="2" type="noConversion"/>
  <hyperlinks>
    <hyperlink ref="H4" r:id="rId1" xr:uid="{A77862B0-B580-43DF-9272-7B32B5A35427}"/>
    <hyperlink ref="H5" r:id="rId2" xr:uid="{602AE8E3-2587-4F74-A241-C4690768D1EC}"/>
  </hyperlinks>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Sheet3</vt:lpstr>
      <vt:lpstr>Sheet4</vt:lpstr>
      <vt:lpstr>Sheet5</vt:lpstr>
      <vt:lpstr>Data</vt:lpstr>
      <vt:lpstr>Questions &amp; KPIs</vt:lpstr>
      <vt:lpstr>Dashboard</vt:lpstr>
      <vt:lpstr>Logo &amp; Colors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Narendra Gandi</cp:lastModifiedBy>
  <dcterms:created xsi:type="dcterms:W3CDTF">2025-06-13T02:42:26Z</dcterms:created>
  <dcterms:modified xsi:type="dcterms:W3CDTF">2026-03-16T18:56:03Z</dcterms:modified>
</cp:coreProperties>
</file>