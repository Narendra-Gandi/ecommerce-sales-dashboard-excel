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arendra\Desktop\5225\Data_Notes\ecommerce-sales-dashboard-excel\dashboard\"/>
    </mc:Choice>
  </mc:AlternateContent>
  <xr:revisionPtr revIDLastSave="0" documentId="8_{EE7AB143-8A10-4800-9E72-44B5B3F882F5}" xr6:coauthVersionLast="47" xr6:coauthVersionMax="47" xr10:uidLastSave="{00000000-0000-0000-0000-000000000000}"/>
  <bookViews>
    <workbookView xWindow="-108" yWindow="-108" windowWidth="23256" windowHeight="12456" xr2:uid="{346724B3-1C49-40AE-AA36-C77CF5D6DD09}"/>
  </bookViews>
  <sheets>
    <sheet name="DashBoard" sheetId="7" r:id="rId1"/>
    <sheet name="Reports" sheetId="8" r:id="rId2"/>
    <sheet name="Data" sheetId="1" r:id="rId3"/>
    <sheet name="Questions &amp; KPIs" sheetId="2" r:id="rId4"/>
  </sheets>
  <definedNames>
    <definedName name="Slicer_Gender_Value">#N/A</definedName>
    <definedName name="Slicer_Order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8" l="1"/>
  <c r="J4" i="8"/>
  <c r="K4" i="8"/>
  <c r="L4" i="8"/>
  <c r="H6" i="8"/>
  <c r="I6" i="8"/>
  <c r="J6" i="8"/>
  <c r="K6" i="8"/>
  <c r="L6" i="8"/>
  <c r="H7" i="8"/>
  <c r="I7" i="8"/>
  <c r="J7" i="8"/>
  <c r="K7" i="8"/>
  <c r="L7" i="8"/>
  <c r="H8" i="8"/>
  <c r="I8" i="8"/>
  <c r="J8" i="8"/>
  <c r="K8" i="8"/>
  <c r="L8" i="8"/>
  <c r="H9" i="8"/>
  <c r="I9" i="8"/>
  <c r="J9" i="8"/>
  <c r="K9" i="8"/>
  <c r="L9" i="8"/>
  <c r="I5" i="8"/>
  <c r="J5" i="8"/>
  <c r="K5" i="8"/>
  <c r="L5" i="8"/>
  <c r="H5" i="8"/>
  <c r="O2" i="1" l="1" a="1"/>
  <c r="O2" i="1" s="1"/>
  <c r="N2" i="1"/>
  <c r="M2" i="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<sst xmlns="http://schemas.openxmlformats.org/spreadsheetml/2006/main" count="14627" uniqueCount="2540">
  <si>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</si>
  <si>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</si>
  <si>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</si>
  <si>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</si>
  <si>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</si>
  <si>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</si>
  <si>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</si>
  <si>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</si>
  <si>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</si>
  <si>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</si>
  <si>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</si>
  <si>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</si>
  <si>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</si>
  <si>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</si>
  <si>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</si>
  <si>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</si>
  <si>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</si>
  <si>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</si>
  <si>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</si>
  <si>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</si>
  <si>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</si>
  <si>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</si>
  <si>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</si>
  <si>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</si>
  <si>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</si>
  <si>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</si>
  <si>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</si>
  <si>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</si>
  <si>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</si>
  <si>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</si>
  <si>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</si>
  <si>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</si>
  <si>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</si>
  <si>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</si>
  <si>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</si>
  <si>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</si>
  <si>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</si>
  <si>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</si>
  <si>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</si>
  <si>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</si>
  <si>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</si>
  <si>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</si>
  <si>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</si>
  <si>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</si>
  <si>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</si>
  <si>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</si>
  <si>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</si>
  <si>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</si>
  <si>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</si>
  <si>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</si>
  <si>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</si>
  <si>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</si>
  <si>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</si>
  <si>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</si>
  <si>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</si>
  <si>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</si>
  <si>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</si>
  <si>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</si>
  <si>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</si>
  <si>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</si>
  <si>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</si>
  <si>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</si>
  <si>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</si>
  <si>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</si>
  <si>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</si>
  <si>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</si>
  <si>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</si>
  <si>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</si>
  <si>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</si>
  <si>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</si>
  <si>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</si>
  <si>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</si>
  <si>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</si>
  <si>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</si>
  <si>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</si>
  <si>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</si>
  <si>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</si>
  <si>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</si>
  <si>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</si>
  <si>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</si>
  <si>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</si>
  <si>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</si>
  <si>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</si>
  <si>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</si>
  <si>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</si>
  <si>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</si>
  <si>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</si>
  <si>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</si>
  <si>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</si>
  <si>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</si>
  <si>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</si>
  <si>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</si>
  <si>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</si>
  <si>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</si>
  <si>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</si>
  <si>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</si>
  <si>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</si>
  <si>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</si>
  <si>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</si>
  <si>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</si>
  <si>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</si>
  <si>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</si>
  <si>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</si>
  <si>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</si>
  <si>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</si>
  <si>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</si>
  <si>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</si>
  <si>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</si>
  <si>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</si>
  <si>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</si>
  <si>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</si>
  <si>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</si>
  <si>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</si>
  <si>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</si>
  <si>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</si>
  <si>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</si>
  <si>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</si>
  <si>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</si>
  <si>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</si>
  <si>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</si>
  <si>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</si>
  <si>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</si>
  <si>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</si>
  <si>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</si>
  <si>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</si>
  <si>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</si>
  <si>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</si>
  <si>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</si>
  <si>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</si>
  <si>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</si>
  <si>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</si>
  <si>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</si>
  <si>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</si>
  <si>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</si>
  <si>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</si>
  <si>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</si>
  <si>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</si>
  <si>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</si>
  <si>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</si>
  <si>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</si>
  <si>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</si>
  <si>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</si>
  <si>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</si>
  <si>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</si>
  <si>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</si>
  <si>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</si>
  <si>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</si>
  <si>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</si>
  <si>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</si>
  <si>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</si>
  <si>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</si>
  <si>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</si>
  <si>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</si>
  <si>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</si>
  <si>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</si>
  <si>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</si>
  <si>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</si>
  <si>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</si>
  <si>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</si>
  <si>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</si>
  <si>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</si>
  <si>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</si>
  <si>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</si>
  <si>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</si>
  <si>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</si>
  <si>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</si>
  <si>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</si>
  <si>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</si>
  <si>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</si>
  <si>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</si>
  <si>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</si>
  <si>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</si>
  <si>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</si>
  <si>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</si>
  <si>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</si>
  <si>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</si>
  <si>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</si>
  <si>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</si>
  <si>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</si>
  <si>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</si>
  <si>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</si>
  <si>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</si>
  <si>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</si>
  <si>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</si>
  <si>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</si>
  <si>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</si>
  <si>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</si>
  <si>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</si>
  <si>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</si>
  <si>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</si>
  <si>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</si>
  <si>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</si>
  <si>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</si>
  <si>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</si>
  <si>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</si>
  <si>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</si>
  <si>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</si>
  <si>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</si>
  <si>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</si>
  <si>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</si>
  <si>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</si>
  <si>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</si>
  <si>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</si>
  <si>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</si>
  <si>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</si>
  <si>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</si>
  <si>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</si>
  <si>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</si>
  <si>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</si>
  <si>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</si>
  <si>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</si>
  <si>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</si>
  <si>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</si>
  <si>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</si>
  <si>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</si>
  <si>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</si>
  <si>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</si>
  <si>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</si>
  <si>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</si>
  <si>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</si>
  <si>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</si>
  <si>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</si>
  <si>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</si>
  <si>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</si>
  <si>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</si>
  <si>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</si>
  <si>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</si>
  <si>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</si>
  <si>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</si>
  <si>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</si>
  <si>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</si>
  <si>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</si>
  <si>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</si>
  <si>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</si>
  <si>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</si>
  <si>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</si>
  <si>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</si>
  <si>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</si>
  <si>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</si>
  <si>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</si>
  <si>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</si>
  <si>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</si>
  <si>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</si>
  <si>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</si>
  <si>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</si>
  <si>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</si>
  <si>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</si>
  <si>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</si>
  <si>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</si>
  <si>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</si>
  <si>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</si>
  <si>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</si>
  <si>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</si>
  <si>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</si>
  <si>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</si>
  <si>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</si>
  <si>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</si>
  <si>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</si>
  <si>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</si>
  <si>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</si>
  <si>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</si>
  <si>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</si>
  <si>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</si>
  <si>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</si>
  <si>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</si>
  <si>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</si>
  <si>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</si>
  <si>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</si>
  <si>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</si>
  <si>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</si>
  <si>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</si>
  <si>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</si>
  <si>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</si>
  <si>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</si>
  <si>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</si>
  <si>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</si>
  <si>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</si>
  <si>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</si>
  <si>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</si>
  <si>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</si>
  <si>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</si>
  <si>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</si>
  <si>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</si>
  <si>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</si>
  <si>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</si>
  <si>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</si>
  <si>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</si>
  <si>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</si>
  <si>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</si>
  <si>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</si>
  <si>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</si>
  <si>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</si>
  <si>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</si>
  <si>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</si>
  <si>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</si>
  <si>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</si>
  <si>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</si>
  <si>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</si>
  <si>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</si>
  <si>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</si>
  <si>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</si>
  <si>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</si>
  <si>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</si>
  <si>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</si>
  <si>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</si>
  <si>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</si>
  <si>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</si>
  <si>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</si>
  <si>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</si>
  <si>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</si>
  <si>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</si>
  <si>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</si>
  <si>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</si>
  <si>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</si>
  <si>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</si>
  <si>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</si>
  <si>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</si>
  <si>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</si>
  <si>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</si>
  <si>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</si>
  <si>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</si>
  <si>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</si>
  <si>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</si>
  <si>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</si>
  <si>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</si>
  <si>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</si>
  <si>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</si>
  <si>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</si>
  <si>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</si>
  <si>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</si>
  <si>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</si>
  <si>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</si>
  <si>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</si>
  <si>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</si>
  <si>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</si>
  <si>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</si>
  <si>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</si>
  <si>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</si>
  <si>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</si>
  <si>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</si>
  <si>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</si>
  <si>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</si>
  <si>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</si>
  <si>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</si>
  <si>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</si>
  <si>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</si>
  <si>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</si>
  <si>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</si>
  <si>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</si>
  <si>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</si>
  <si>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</si>
  <si>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</si>
  <si>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</si>
  <si>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</si>
  <si>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</si>
  <si>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</si>
  <si>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</si>
  <si>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</si>
  <si>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</si>
  <si>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</si>
  <si>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</si>
  <si>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</si>
  <si>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</si>
  <si>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</si>
  <si>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</si>
  <si>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</si>
  <si>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</si>
  <si>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</si>
  <si>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</si>
  <si>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</si>
  <si>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</si>
  <si>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</si>
  <si>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</si>
  <si>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</si>
  <si>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</si>
  <si>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</si>
  <si>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</si>
  <si>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</si>
  <si>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</si>
  <si>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</si>
  <si>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</si>
  <si>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</si>
  <si>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</si>
  <si>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</si>
  <si>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</si>
  <si>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</si>
  <si>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</si>
  <si>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</si>
  <si>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</si>
  <si>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</si>
  <si>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</si>
  <si>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</si>
  <si>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</si>
  <si>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</si>
  <si>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</si>
  <si>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</si>
  <si>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</si>
  <si>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</si>
  <si>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</si>
  <si>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</si>
  <si>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</si>
  <si>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</si>
  <si>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</si>
  <si>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</si>
  <si>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</si>
  <si>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</si>
  <si>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</si>
  <si>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</si>
  <si>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</si>
  <si>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</si>
  <si>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</si>
  <si>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</si>
  <si>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</si>
  <si>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</si>
  <si>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</si>
  <si>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</si>
  <si>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</si>
  <si>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</si>
  <si>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</si>
  <si>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</si>
  <si>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</si>
  <si>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</si>
  <si>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</si>
  <si>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</si>
  <si>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</si>
  <si>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</si>
  <si>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</si>
  <si>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</si>
  <si>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</si>
  <si>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</si>
  <si>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</si>
  <si>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</si>
  <si>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</si>
  <si>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</si>
  <si>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</si>
  <si>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</si>
  <si>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</si>
  <si>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</si>
  <si>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</si>
  <si>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</si>
  <si>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</si>
  <si>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</si>
  <si>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</si>
  <si>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</si>
  <si>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</si>
  <si>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</si>
  <si>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</si>
  <si>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</si>
  <si>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</si>
  <si>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</si>
  <si>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</si>
  <si>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</si>
  <si>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</si>
  <si>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</si>
  <si>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</si>
  <si>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</si>
  <si>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</si>
  <si>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</si>
  <si>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</si>
  <si>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</si>
  <si>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</si>
  <si>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</si>
  <si>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</si>
  <si>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</si>
  <si>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</si>
  <si>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</si>
  <si>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</si>
  <si>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</si>
  <si>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</si>
  <si>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</si>
  <si>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</si>
  <si>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</si>
  <si>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</si>
  <si>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</si>
  <si>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</si>
  <si>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</si>
  <si>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</si>
  <si>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</si>
  <si>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</si>
  <si>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</si>
  <si>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</si>
  <si>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</si>
  <si>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</si>
  <si>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</si>
  <si>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</si>
  <si>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</si>
  <si>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</si>
  <si>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</si>
  <si>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</si>
  <si>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</si>
  <si>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</si>
  <si>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</si>
  <si>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</si>
  <si>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</si>
  <si>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</si>
  <si>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</si>
  <si>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</si>
  <si>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</si>
  <si>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</si>
  <si>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</si>
  <si>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</si>
  <si>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</si>
  <si>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</si>
  <si>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</si>
  <si>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</si>
  <si>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</si>
  <si>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</si>
  <si>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</si>
  <si>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</si>
  <si>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</si>
  <si>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</si>
  <si>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</si>
  <si>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</si>
  <si>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</si>
  <si>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</si>
  <si>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</si>
  <si>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</si>
  <si>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</si>
  <si>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</si>
  <si>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</si>
  <si>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</si>
  <si>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</si>
  <si>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</si>
  <si>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</si>
  <si>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</si>
  <si>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</si>
  <si>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</si>
  <si>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</si>
  <si>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</si>
  <si>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</si>
  <si>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</si>
  <si>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</si>
  <si>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</si>
  <si>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</si>
  <si>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</si>
  <si>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</si>
  <si>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</si>
  <si>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</si>
  <si>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</si>
  <si>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</si>
  <si>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</si>
  <si>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</si>
  <si>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</si>
  <si>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</si>
  <si>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</si>
  <si>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</si>
  <si>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</si>
  <si>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</si>
  <si>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</si>
  <si>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</si>
  <si>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</si>
  <si>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</si>
  <si>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</si>
  <si>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</si>
  <si>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</si>
  <si>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</si>
  <si>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</si>
  <si>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</si>
  <si>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</si>
  <si>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</si>
  <si>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</si>
  <si>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</si>
  <si>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</si>
  <si>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</si>
  <si>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</si>
  <si>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</si>
  <si>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</si>
  <si>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</si>
  <si>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</si>
  <si>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</si>
  <si>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</si>
  <si>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</si>
  <si>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</si>
  <si>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</si>
  <si>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</si>
  <si>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</si>
  <si>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</si>
  <si>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</si>
  <si>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</si>
  <si>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</si>
  <si>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</si>
  <si>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</si>
  <si>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</si>
  <si>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</si>
  <si>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</si>
  <si>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</si>
  <si>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</si>
  <si>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</si>
  <si>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</si>
  <si>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</si>
  <si>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</si>
  <si>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</si>
  <si>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</si>
  <si>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</si>
  <si>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</si>
  <si>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</si>
  <si>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</si>
  <si>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</si>
  <si>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</si>
  <si>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</si>
  <si>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</si>
  <si>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</si>
  <si>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</si>
  <si>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</si>
  <si>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</si>
  <si>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</si>
  <si>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</si>
  <si>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</si>
  <si>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</si>
  <si>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</si>
  <si>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</si>
  <si>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</si>
  <si>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</si>
  <si>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</si>
  <si>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</si>
  <si>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</si>
  <si>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</si>
  <si>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</si>
  <si>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</si>
  <si>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</si>
  <si>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</si>
  <si>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</si>
  <si>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</si>
  <si>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</si>
  <si>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</si>
  <si>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</si>
  <si>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</si>
  <si>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</si>
  <si>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</si>
  <si>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</si>
  <si>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</si>
  <si>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</si>
  <si>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</si>
  <si>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</si>
  <si>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</si>
  <si>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</si>
  <si>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</si>
  <si>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</si>
  <si>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</si>
  <si>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</si>
  <si>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</si>
  <si>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</si>
  <si>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</si>
  <si>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</si>
  <si>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</si>
  <si>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</si>
  <si>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</si>
  <si>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</si>
  <si>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</si>
  <si>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</si>
  <si>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</si>
  <si>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</si>
  <si>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</si>
  <si>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</si>
  <si>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</si>
  <si>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</si>
  <si>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</si>
  <si>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</si>
  <si>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</si>
  <si>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</si>
  <si>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</si>
  <si>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</si>
  <si>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</si>
  <si>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</si>
  <si>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</si>
  <si>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</si>
  <si>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</si>
  <si>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</si>
  <si>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</si>
  <si>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</si>
  <si>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</si>
  <si>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</si>
  <si>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</si>
  <si>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</si>
  <si>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</si>
  <si>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</si>
  <si>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</si>
  <si>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</si>
  <si>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</si>
  <si>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</si>
  <si>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</si>
  <si>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</si>
  <si>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</si>
  <si>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</si>
  <si>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</si>
  <si>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</si>
  <si>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</si>
  <si>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</si>
  <si>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</si>
  <si>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</si>
  <si>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</si>
  <si>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</si>
  <si>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</si>
  <si>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</si>
  <si>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</si>
  <si>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</si>
  <si>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</si>
  <si>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</si>
  <si>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</si>
  <si>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</si>
  <si>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</si>
  <si>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</si>
  <si>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</si>
  <si>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</si>
  <si>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</si>
  <si>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</si>
  <si>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</si>
  <si>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</si>
  <si>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</si>
  <si>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</si>
  <si>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</si>
  <si>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</si>
  <si>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</si>
  <si>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</si>
  <si>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</si>
  <si>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</si>
  <si>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</si>
  <si>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</si>
  <si>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</si>
  <si>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</si>
  <si>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</si>
  <si>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</si>
  <si>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</si>
  <si>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</si>
  <si>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</si>
  <si>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</si>
  <si>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</si>
  <si>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</si>
  <si>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</si>
  <si>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</si>
  <si>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</si>
  <si>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</si>
  <si>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</si>
  <si>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</si>
  <si>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</si>
  <si>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</si>
  <si>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</si>
  <si>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</si>
  <si>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</si>
  <si>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</si>
  <si>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</si>
  <si>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</si>
  <si>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</si>
  <si>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</si>
  <si>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</si>
  <si>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</si>
  <si>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</si>
  <si>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</si>
  <si>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</si>
  <si>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</si>
  <si>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</si>
  <si>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</si>
  <si>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</si>
  <si>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</si>
  <si>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</si>
  <si>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</si>
  <si>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</si>
  <si>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</si>
  <si>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</si>
  <si>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</si>
  <si>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</si>
  <si>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</si>
  <si>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</si>
  <si>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</si>
  <si>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</si>
  <si>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</si>
  <si>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</si>
  <si>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</si>
  <si>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</si>
  <si>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</si>
  <si>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</si>
  <si>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</si>
  <si>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</si>
  <si>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</si>
  <si>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</si>
  <si>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</si>
  <si>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</si>
  <si>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</si>
  <si>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</si>
  <si>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</si>
  <si>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</si>
  <si>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</si>
  <si>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</si>
  <si>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</si>
  <si>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</si>
  <si>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</si>
  <si>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</si>
  <si>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</si>
  <si>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</si>
  <si>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</si>
  <si>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</si>
  <si>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</si>
  <si>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</si>
  <si>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</si>
  <si>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</si>
  <si>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</si>
  <si>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</si>
  <si>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</si>
  <si>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</si>
  <si>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</si>
  <si>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</si>
  <si>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</si>
  <si>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</si>
  <si>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</si>
  <si>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</si>
  <si>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</si>
  <si>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</si>
  <si>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</si>
  <si>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</si>
  <si>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</si>
  <si>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</si>
  <si>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</si>
  <si>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</si>
  <si>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</si>
  <si>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</si>
  <si>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</si>
  <si>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</si>
  <si>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</si>
  <si>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</si>
  <si>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</si>
  <si>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</si>
  <si>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</si>
  <si>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</si>
  <si>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</si>
  <si>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</si>
  <si>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</si>
  <si>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</si>
  <si>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</si>
  <si>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</si>
  <si>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</si>
  <si>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</si>
  <si>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</si>
  <si>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</si>
  <si>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</si>
  <si>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</si>
  <si>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</si>
  <si>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</si>
  <si>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</si>
  <si>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</si>
  <si>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</si>
  <si>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</si>
  <si>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</si>
  <si>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</si>
  <si>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</si>
  <si>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</si>
  <si>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</si>
  <si>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</si>
  <si>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</si>
  <si>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</si>
  <si>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</si>
  <si>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</si>
  <si>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</si>
  <si>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</si>
  <si>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</si>
  <si>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</si>
  <si>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</si>
  <si>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</si>
  <si>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</si>
  <si>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</si>
  <si>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</si>
  <si>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</si>
  <si>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</si>
  <si>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</si>
  <si>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</si>
  <si>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</si>
  <si>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</si>
  <si>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</si>
  <si>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</si>
  <si>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</si>
  <si>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</si>
  <si>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</si>
  <si>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</si>
  <si>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</si>
  <si>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</si>
  <si>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</si>
  <si>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</si>
  <si>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</si>
  <si>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</si>
  <si>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</si>
  <si>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</si>
  <si>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</si>
  <si>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</si>
  <si>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</si>
  <si>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</si>
  <si>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</si>
  <si>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</si>
  <si>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</si>
  <si>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</si>
  <si>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</si>
  <si>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</si>
  <si>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</si>
  <si>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</si>
  <si>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</si>
  <si>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</si>
  <si>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</si>
  <si>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</si>
  <si>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</si>
  <si>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</si>
  <si>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</si>
  <si>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</si>
  <si>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</si>
  <si>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</si>
  <si>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</si>
  <si>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</si>
  <si>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</si>
  <si>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</si>
  <si>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</si>
  <si>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</si>
  <si>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</si>
  <si>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</si>
  <si>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</si>
  <si>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</si>
  <si>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</si>
  <si>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</si>
  <si>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</si>
  <si>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</si>
  <si>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</si>
  <si>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</si>
  <si>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</si>
  <si>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</si>
  <si>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</si>
  <si>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</si>
  <si>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</si>
  <si>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</si>
  <si>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</si>
  <si>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</si>
  <si>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</si>
  <si>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</si>
  <si>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</si>
  <si>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</si>
  <si>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</si>
  <si>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</si>
  <si>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</si>
  <si>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</si>
  <si>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</si>
  <si>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</si>
  <si>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</si>
  <si>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</si>
  <si>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</si>
  <si>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</si>
  <si>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</si>
  <si>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</si>
  <si>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</si>
  <si>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</si>
  <si>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</si>
  <si>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</si>
  <si>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</si>
  <si>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</si>
  <si>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</si>
  <si>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</si>
  <si>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</si>
  <si>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</si>
  <si>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</si>
  <si>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</si>
  <si>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</si>
  <si>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</si>
  <si>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</si>
  <si>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</si>
  <si>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</si>
  <si>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</si>
  <si>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</si>
  <si>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</si>
  <si>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</si>
  <si>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</si>
  <si>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</si>
  <si>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</si>
  <si>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</si>
  <si>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</si>
  <si>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</si>
  <si>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</si>
  <si>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</si>
  <si>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</si>
  <si>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</si>
  <si>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</si>
  <si>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</si>
  <si>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</si>
  <si>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</si>
  <si>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</si>
  <si>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</si>
  <si>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</si>
  <si>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</si>
  <si>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</si>
  <si>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</si>
  <si>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</si>
  <si>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</si>
  <si>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</si>
  <si>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</si>
  <si>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</si>
  <si>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</si>
  <si>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</si>
  <si>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</si>
  <si>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</si>
  <si>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</si>
  <si>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</si>
  <si>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</si>
  <si>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</si>
  <si>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</si>
  <si>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</si>
  <si>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</si>
  <si>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</si>
  <si>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</si>
  <si>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</si>
  <si>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</si>
  <si>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</si>
  <si>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</si>
  <si>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</si>
  <si>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</si>
  <si>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</si>
  <si>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</si>
  <si>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</si>
  <si>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</si>
  <si>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</si>
  <si>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</si>
  <si>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</si>
  <si>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</si>
  <si>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</si>
  <si>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</si>
  <si>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</si>
  <si>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</si>
  <si>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</si>
  <si>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</si>
  <si>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</si>
  <si>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</si>
  <si>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</si>
  <si>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</si>
  <si>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</si>
  <si>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</si>
  <si>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</si>
  <si>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</si>
  <si>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</si>
  <si>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</si>
  <si>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</si>
  <si>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</si>
  <si>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</si>
  <si>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</si>
  <si>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</si>
  <si>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</si>
  <si>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</si>
  <si>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</si>
  <si>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</si>
  <si>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</si>
  <si>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</si>
  <si>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</si>
  <si>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</si>
  <si>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</si>
  <si>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</si>
  <si>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</si>
  <si>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</si>
  <si>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</si>
  <si>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</si>
  <si>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</si>
  <si>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</si>
  <si>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</si>
  <si>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</si>
  <si>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</si>
  <si>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</si>
  <si>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</si>
  <si>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</si>
  <si>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</si>
  <si>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</si>
  <si>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</si>
  <si>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</si>
  <si>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</si>
  <si>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</si>
  <si>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</si>
  <si>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</si>
  <si>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</si>
  <si>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</si>
  <si>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</si>
  <si>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</si>
  <si>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</si>
  <si>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</si>
  <si>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</si>
  <si>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</si>
  <si>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</si>
  <si>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</si>
  <si>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</si>
  <si>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</si>
  <si>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</si>
  <si>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</si>
  <si>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</si>
  <si>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</si>
  <si>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</si>
  <si>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</si>
  <si>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</si>
  <si>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</si>
  <si>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</si>
  <si>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</si>
  <si>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</si>
  <si>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</si>
  <si>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</si>
  <si>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</si>
  <si>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</si>
  <si>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</si>
  <si>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</si>
  <si>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</si>
  <si>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</si>
  <si>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</si>
  <si>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</si>
  <si>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</si>
  <si>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</si>
  <si>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</si>
  <si>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</si>
  <si>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</si>
  <si>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</si>
  <si>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</si>
  <si>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</si>
  <si>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</si>
  <si>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</si>
  <si>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</si>
  <si>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</si>
  <si>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</si>
  <si>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</si>
  <si>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</si>
  <si>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</si>
  <si>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</si>
  <si>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</si>
  <si>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</si>
  <si>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</si>
  <si>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</si>
  <si>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</si>
  <si>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</si>
  <si>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</si>
  <si>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</si>
  <si>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</si>
  <si>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</si>
  <si>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</si>
  <si>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</si>
  <si>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</si>
  <si>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</si>
  <si>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</si>
  <si>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</si>
  <si>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</si>
  <si>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</si>
  <si>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</si>
  <si>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</si>
  <si>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</si>
  <si>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</si>
  <si>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</si>
  <si>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</si>
  <si>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</si>
  <si>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</si>
  <si>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</si>
  <si>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</si>
  <si>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</si>
  <si>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</si>
  <si>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</si>
  <si>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</si>
  <si>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</si>
  <si>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</si>
  <si>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</si>
  <si>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</si>
  <si>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</si>
  <si>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</si>
  <si>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</si>
  <si>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</si>
  <si>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</si>
  <si>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</si>
  <si>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</si>
  <si>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</si>
  <si>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</si>
  <si>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</si>
  <si>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</si>
  <si>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</si>
  <si>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</si>
  <si>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</si>
  <si>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</si>
  <si>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</si>
  <si>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</si>
  <si>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</si>
  <si>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</si>
  <si>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</si>
  <si>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</si>
  <si>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</si>
  <si>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</si>
  <si>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</si>
  <si>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</si>
  <si>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</si>
  <si>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</si>
  <si>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</si>
  <si>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</si>
  <si>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</si>
  <si>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</si>
  <si>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</si>
  <si>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</si>
  <si>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</si>
  <si>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</si>
  <si>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</si>
  <si>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</si>
  <si>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</si>
  <si>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</si>
  <si>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</si>
  <si>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</si>
  <si>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</si>
  <si>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</si>
  <si>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</si>
  <si>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</si>
  <si>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</si>
  <si>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</si>
  <si>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</si>
  <si>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</si>
  <si>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</si>
  <si>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</si>
  <si>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</si>
  <si>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</si>
  <si>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</si>
  <si>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</si>
  <si>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</si>
  <si>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</si>
  <si>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</si>
  <si>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</si>
  <si>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</si>
  <si>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</si>
  <si>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</si>
  <si>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</si>
  <si>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</si>
  <si>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</si>
  <si>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</si>
  <si>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</si>
  <si>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</si>
  <si>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</si>
  <si>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</si>
  <si>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</si>
  <si>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</si>
  <si>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</si>
  <si>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</si>
  <si>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</si>
  <si>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</si>
  <si>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</si>
  <si>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</si>
  <si>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</si>
  <si>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</si>
  <si>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</si>
  <si>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</si>
  <si>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</si>
  <si>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</si>
  <si>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</si>
  <si>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</si>
  <si>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</si>
  <si>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</si>
  <si>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</si>
  <si>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</si>
  <si>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</si>
  <si>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</si>
  <si>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</si>
  <si>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</si>
  <si>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</si>
  <si>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</si>
  <si>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</si>
  <si>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</si>
  <si>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</si>
  <si>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</si>
  <si>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</si>
  <si>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</si>
  <si>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</si>
  <si>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</si>
  <si>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</si>
  <si>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</si>
  <si>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</si>
  <si>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</si>
  <si>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</si>
  <si>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</si>
  <si>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</si>
  <si>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</si>
  <si>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</si>
  <si>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</si>
  <si>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</si>
  <si>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</si>
  <si>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</si>
  <si>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</si>
  <si>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</si>
  <si>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</si>
  <si>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</si>
  <si>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</si>
  <si>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</si>
  <si>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</si>
  <si>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</si>
  <si>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</si>
  <si>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</si>
  <si>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</si>
  <si>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</si>
  <si>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</si>
  <si>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</si>
  <si>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</si>
  <si>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</si>
  <si>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</si>
  <si>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</si>
  <si>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</si>
  <si>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</si>
  <si>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</si>
  <si>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</si>
  <si>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</si>
  <si>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</si>
  <si>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</si>
  <si>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</si>
  <si>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</si>
  <si>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</si>
  <si>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</si>
  <si>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</si>
  <si>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</si>
  <si>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</si>
  <si>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</si>
  <si>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</si>
  <si>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</si>
  <si>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</si>
  <si>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</si>
  <si>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</si>
  <si>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</si>
  <si>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</si>
  <si>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</si>
  <si>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</si>
  <si>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</si>
  <si>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</si>
  <si>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</si>
  <si>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</si>
  <si>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</si>
  <si>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</si>
  <si>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</si>
  <si>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</si>
  <si>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</si>
  <si>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</si>
  <si>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</si>
  <si>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</si>
  <si>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</si>
  <si>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</si>
  <si>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</si>
  <si>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</si>
  <si>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</si>
  <si>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</si>
  <si>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</si>
  <si>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</si>
  <si>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</si>
  <si>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</si>
  <si>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</si>
  <si>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</si>
  <si>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</si>
  <si>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</si>
  <si>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</si>
  <si>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</si>
  <si>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</si>
  <si>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</si>
  <si>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</si>
  <si>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</si>
  <si>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</si>
  <si>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</si>
  <si>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</si>
  <si>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</si>
  <si>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</si>
  <si>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</si>
  <si>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</si>
  <si>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</si>
  <si>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</si>
  <si>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</si>
  <si>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</si>
  <si>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</si>
  <si>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</si>
  <si>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</si>
  <si>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</si>
  <si>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</si>
  <si>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</si>
  <si>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</si>
  <si>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</si>
  <si>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</si>
  <si>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</si>
  <si>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</si>
  <si>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</si>
  <si>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</si>
  <si>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</si>
  <si>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</si>
  <si>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</si>
  <si>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</si>
  <si>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</si>
  <si>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</si>
  <si>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</si>
  <si>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</si>
  <si>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</si>
  <si>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</si>
  <si>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</si>
  <si>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</si>
  <si>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</si>
  <si>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</si>
  <si>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</si>
  <si>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</si>
  <si>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</si>
  <si>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</si>
  <si>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</si>
  <si>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</si>
  <si>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</si>
  <si>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</si>
  <si>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</si>
  <si>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</si>
  <si>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</si>
  <si>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</si>
  <si>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</si>
  <si>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</si>
  <si>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</si>
  <si>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</si>
  <si>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</si>
  <si>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</si>
  <si>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</si>
  <si>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</si>
  <si>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</si>
  <si>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</si>
  <si>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</si>
  <si>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</si>
  <si>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</si>
  <si>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</si>
  <si>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</si>
  <si>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</si>
  <si>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</si>
  <si>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</si>
  <si>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</si>
  <si>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</si>
  <si>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</si>
  <si>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</si>
  <si>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</si>
  <si>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</si>
  <si>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</si>
  <si>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</si>
  <si>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</si>
  <si>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</si>
  <si>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</si>
  <si>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</si>
  <si>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</si>
  <si>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</si>
  <si>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</si>
  <si>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</si>
  <si>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</si>
  <si>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</si>
  <si>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</si>
  <si>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</si>
  <si>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</si>
  <si>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</si>
  <si>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</si>
  <si>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</si>
  <si>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</si>
  <si>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</si>
  <si>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</si>
  <si>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</si>
  <si>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</si>
  <si>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</si>
  <si>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</si>
  <si>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</si>
  <si>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</si>
  <si>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</si>
  <si>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</si>
  <si>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</si>
  <si>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</si>
  <si>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</si>
  <si>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</si>
  <si>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</si>
  <si>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</si>
  <si>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</si>
  <si>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</si>
  <si>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</si>
  <si>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</si>
  <si>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</si>
  <si>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</si>
  <si>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</si>
  <si>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</si>
  <si>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</si>
  <si>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</si>
  <si>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</si>
  <si>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</si>
  <si>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</si>
  <si>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</si>
  <si>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</si>
  <si>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</si>
  <si>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</si>
  <si>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</si>
  <si>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</si>
  <si>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</si>
  <si>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</si>
  <si>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</si>
  <si>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</si>
  <si>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</si>
  <si>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</si>
  <si>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</si>
  <si>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</si>
  <si>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</si>
  <si>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</si>
  <si>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</si>
  <si>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</si>
  <si>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</si>
  <si>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</si>
  <si>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</si>
  <si>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</si>
  <si>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</si>
  <si>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</si>
  <si>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</si>
  <si>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</si>
  <si>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</si>
  <si>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</si>
  <si>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</si>
  <si>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</si>
  <si>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</si>
  <si>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</si>
  <si>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</si>
  <si>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</si>
  <si>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</si>
  <si>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</si>
  <si>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</si>
  <si>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</si>
  <si>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</si>
  <si>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</si>
  <si>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</si>
  <si>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</si>
  <si>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</si>
  <si>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</si>
  <si>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</si>
  <si>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</si>
  <si>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</si>
  <si>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</si>
  <si>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</si>
  <si>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</si>
  <si>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</si>
  <si>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</si>
  <si>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</si>
  <si>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</si>
  <si>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</si>
  <si>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</si>
  <si>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</si>
  <si>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</si>
  <si>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</si>
  <si>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</si>
  <si>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</si>
  <si>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</si>
  <si>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</si>
  <si>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</si>
  <si>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</si>
  <si>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</si>
  <si>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</si>
  <si>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</si>
  <si>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</si>
  <si>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</si>
  <si>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</si>
  <si>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</si>
  <si>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</si>
  <si>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</si>
  <si>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</si>
  <si>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</si>
  <si>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</si>
  <si>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</si>
  <si>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</si>
  <si>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</si>
  <si>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</si>
  <si>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</si>
  <si>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</si>
  <si>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</si>
  <si>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</si>
  <si>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</si>
  <si>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</si>
  <si>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</si>
  <si>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</si>
  <si>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</si>
  <si>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</si>
  <si>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</si>
  <si>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</si>
  <si>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</si>
  <si>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</si>
  <si>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</si>
  <si>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</si>
  <si>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</si>
  <si>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</si>
  <si>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</si>
  <si>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</si>
  <si>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</si>
  <si>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</si>
  <si>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</si>
  <si>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</si>
  <si>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</si>
  <si>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</si>
  <si>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</si>
  <si>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</si>
  <si>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</si>
  <si>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</si>
  <si>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</si>
  <si>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</si>
  <si>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</si>
  <si>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</si>
  <si>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</si>
  <si>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</si>
  <si>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</si>
  <si>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</si>
  <si>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</si>
  <si>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</si>
  <si>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</si>
  <si>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</si>
  <si>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</si>
  <si>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</si>
  <si>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</si>
  <si>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</si>
  <si>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</si>
  <si>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</si>
  <si>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</si>
  <si>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</si>
  <si>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</si>
  <si>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</si>
  <si>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</si>
  <si>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</si>
  <si>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</si>
  <si>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</si>
  <si>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</si>
  <si>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</si>
  <si>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</si>
  <si>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</si>
  <si>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</si>
  <si>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</si>
  <si>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</si>
  <si>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</si>
  <si>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</si>
  <si>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</si>
  <si>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</si>
  <si>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</si>
  <si>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</si>
  <si>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</si>
  <si>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</si>
  <si>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</si>
  <si>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</si>
  <si>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</si>
  <si>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</si>
  <si>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</si>
  <si>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</si>
  <si>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</si>
  <si>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</si>
  <si>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</si>
  <si>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</si>
  <si>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</si>
  <si>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</si>
  <si>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</si>
  <si>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</si>
  <si>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</si>
  <si>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</si>
  <si>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</si>
  <si>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</si>
  <si>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</si>
  <si>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</si>
  <si>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</si>
  <si>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</si>
  <si>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</si>
  <si>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</si>
  <si>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</si>
  <si>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</si>
  <si>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</si>
  <si>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</si>
  <si>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</si>
  <si>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</si>
  <si>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</si>
  <si>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</si>
  <si>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</si>
  <si>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</si>
  <si>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</si>
  <si>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</si>
  <si>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</si>
  <si>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</si>
  <si>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</si>
  <si>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</si>
  <si>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</si>
  <si>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</si>
  <si>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</si>
  <si>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</si>
  <si>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</si>
  <si>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</si>
  <si>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</si>
  <si>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</si>
  <si>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</si>
  <si>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</si>
  <si>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</si>
  <si>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</si>
  <si>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</si>
  <si>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</si>
  <si>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</si>
  <si>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</si>
  <si>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</si>
  <si>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</si>
  <si>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</si>
  <si>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</si>
  <si>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</si>
  <si>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</si>
  <si>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</si>
  <si>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</si>
  <si>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</si>
  <si>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</si>
  <si>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</si>
  <si>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</si>
  <si>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</si>
  <si>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</si>
  <si>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</si>
  <si>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</si>
  <si>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</si>
  <si>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</si>
  <si>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</si>
  <si>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</si>
  <si>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</si>
  <si>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</si>
  <si>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</si>
  <si>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</si>
  <si>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</si>
  <si>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</si>
  <si>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</si>
  <si>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</si>
  <si>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</si>
  <si>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</si>
  <si>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</si>
  <si>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</si>
  <si>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</si>
  <si>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</si>
  <si>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</si>
  <si>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</si>
  <si>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</si>
  <si>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</si>
  <si>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</si>
  <si>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</si>
  <si>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</si>
  <si>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</si>
  <si>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</si>
  <si>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</si>
  <si>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</si>
  <si>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</si>
  <si>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</si>
  <si>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</si>
  <si>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</si>
  <si>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</si>
  <si>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</si>
  <si>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</si>
  <si>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</si>
  <si>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</si>
  <si>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</si>
  <si>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</si>
  <si>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</si>
  <si>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</si>
  <si>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</si>
  <si>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</si>
  <si>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</si>
  <si>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</si>
  <si>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</si>
  <si>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</si>
  <si>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</si>
  <si>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</si>
  <si>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</si>
  <si>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</si>
  <si>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</si>
  <si>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</si>
  <si>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</si>
  <si>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</si>
  <si>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</si>
  <si>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</si>
  <si>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</si>
  <si>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</si>
  <si>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</si>
  <si>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</si>
  <si>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</si>
  <si>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</si>
  <si>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</si>
  <si>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</si>
  <si>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</si>
  <si>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</si>
  <si>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</si>
  <si>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</si>
  <si>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</si>
  <si>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</si>
  <si>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</si>
  <si>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</si>
  <si>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</si>
  <si>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</si>
  <si>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</si>
  <si>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</si>
  <si>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</si>
  <si>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</si>
  <si>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</si>
  <si>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</si>
  <si>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</si>
  <si>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</si>
  <si>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</si>
  <si>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</si>
  <si>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</si>
  <si>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</si>
  <si>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</si>
  <si>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</si>
  <si>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</si>
  <si>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</si>
  <si>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</si>
  <si>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</si>
  <si>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</si>
  <si>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</si>
  <si>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</si>
  <si>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</si>
  <si>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</si>
  <si>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</si>
  <si>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</si>
  <si>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</si>
  <si>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</si>
  <si>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</si>
  <si>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</si>
  <si>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</si>
  <si>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</si>
  <si>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</si>
  <si>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</si>
  <si>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</si>
  <si>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</si>
  <si>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</si>
  <si>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</si>
  <si>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</si>
  <si>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</si>
  <si>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</si>
  <si>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</si>
  <si>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</si>
  <si>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</si>
  <si>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</si>
  <si>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</si>
  <si>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</si>
  <si>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</si>
  <si>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</si>
  <si>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</si>
  <si>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</si>
  <si>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</si>
  <si>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</si>
  <si>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</si>
  <si>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</si>
  <si>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</si>
  <si>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</si>
  <si>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</si>
  <si>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</si>
  <si>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</si>
  <si>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</si>
  <si>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</si>
  <si>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</si>
  <si>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</si>
  <si>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</si>
  <si>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</si>
  <si>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</si>
  <si>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</si>
  <si>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</si>
  <si>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</si>
  <si>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</si>
  <si>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</si>
  <si>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</si>
  <si>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</si>
  <si>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</si>
  <si>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</si>
  <si>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</si>
  <si>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</si>
  <si>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</si>
  <si>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</si>
  <si>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</si>
  <si>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</si>
  <si>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</si>
  <si>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</si>
  <si>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</si>
  <si>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</si>
  <si>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</si>
  <si>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</si>
  <si>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</si>
  <si>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</si>
  <si>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</si>
  <si>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</si>
  <si>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</si>
  <si>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</si>
  <si>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</si>
  <si>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</si>
  <si>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</si>
  <si>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</si>
  <si>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</si>
  <si>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</si>
  <si>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</si>
  <si>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</si>
  <si>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</si>
  <si>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</si>
  <si>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</si>
  <si>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</si>
  <si>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</si>
  <si>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</si>
  <si>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</si>
  <si>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</si>
  <si>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</si>
  <si>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</si>
  <si>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</si>
  <si>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</si>
  <si>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</si>
  <si>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</si>
  <si>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</si>
  <si>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</si>
  <si>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</si>
  <si>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</si>
  <si>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</si>
  <si>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</si>
  <si>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</si>
  <si>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</si>
  <si>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</si>
  <si>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</si>
  <si>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</si>
  <si>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</si>
  <si>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</si>
  <si>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</si>
  <si>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</si>
  <si>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</si>
  <si>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</si>
  <si>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</si>
  <si>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</si>
  <si>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</si>
  <si>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</si>
  <si>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</si>
  <si>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</si>
  <si>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</si>
  <si>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</si>
  <si>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</si>
  <si>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</si>
  <si>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</si>
  <si>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</si>
  <si>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</si>
  <si>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</si>
  <si>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</si>
  <si>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</si>
  <si>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</si>
  <si>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</si>
  <si>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</si>
  <si>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</si>
  <si>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</si>
  <si>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</si>
  <si>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</si>
  <si>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</si>
  <si>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</si>
  <si>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</si>
  <si>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</si>
  <si>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</si>
  <si>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</si>
  <si>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</si>
  <si>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</si>
  <si>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</si>
  <si>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</si>
  <si>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</si>
  <si>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</si>
  <si>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</si>
  <si>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</si>
  <si>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</si>
  <si>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</si>
  <si>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</si>
  <si>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</si>
  <si>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</si>
  <si>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</si>
  <si>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</si>
  <si>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</si>
  <si>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</si>
  <si>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</si>
  <si>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</si>
  <si>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</si>
  <si>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</si>
  <si>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</si>
  <si>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</si>
  <si>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</si>
  <si>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</si>
  <si>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</si>
  <si>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</si>
  <si>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</si>
  <si>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</si>
  <si>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</si>
  <si>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</si>
  <si>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</si>
  <si>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</si>
  <si>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</si>
  <si>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</si>
  <si>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</si>
  <si>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</si>
  <si>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</si>
  <si>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</si>
  <si>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</si>
  <si>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</si>
  <si>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</si>
  <si>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</si>
  <si>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</si>
  <si>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</si>
  <si>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</si>
  <si>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</si>
  <si>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</si>
  <si>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</si>
  <si>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</si>
  <si>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</si>
  <si>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</si>
  <si>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</si>
  <si>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</si>
  <si>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</si>
  <si>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</si>
  <si>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</si>
  <si>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</si>
  <si>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</si>
  <si>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</si>
  <si>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</si>
  <si>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</si>
  <si>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</si>
  <si>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</si>
  <si>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</si>
  <si>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</si>
  <si>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</si>
  <si>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</si>
  <si>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</si>
  <si>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</si>
  <si>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</si>
  <si>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</si>
  <si>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</si>
  <si>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</si>
  <si>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</si>
  <si>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</si>
  <si>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</si>
  <si>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</si>
  <si>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</si>
  <si>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</si>
  <si>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</si>
  <si>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</si>
  <si>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</si>
  <si>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</si>
  <si>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</si>
  <si>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</si>
  <si>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</si>
  <si>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</si>
  <si>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</si>
  <si>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</si>
  <si>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</si>
  <si>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</si>
  <si>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</si>
  <si>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</si>
  <si>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</si>
  <si>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</si>
  <si>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</si>
  <si>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</si>
  <si>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</si>
  <si>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</si>
  <si>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</si>
  <si>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</si>
  <si>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</si>
  <si>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</si>
  <si>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</si>
  <si>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</si>
  <si>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</si>
  <si>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</si>
  <si>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</si>
  <si>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</si>
  <si>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</si>
  <si>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</si>
  <si>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</si>
  <si>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</si>
  <si>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</si>
  <si>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</si>
  <si>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</si>
  <si>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</si>
  <si>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</si>
  <si>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</si>
  <si>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</si>
  <si>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</si>
  <si>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</si>
  <si>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</si>
  <si>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</si>
  <si>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</si>
  <si>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</si>
  <si>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</si>
  <si>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</si>
  <si>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</si>
  <si>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</si>
  <si>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</si>
  <si>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</si>
  <si>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</si>
  <si>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</si>
  <si>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</si>
  <si>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</si>
  <si>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</si>
  <si>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</si>
  <si>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</si>
  <si>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</si>
  <si>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</si>
  <si>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</si>
  <si>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</si>
  <si>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</si>
  <si>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</si>
  <si>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</si>
  <si>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</si>
  <si>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</si>
  <si>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</si>
  <si>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</si>
  <si>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</si>
  <si>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</si>
  <si>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</si>
  <si>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</si>
  <si>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</si>
  <si>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</si>
  <si>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</si>
  <si>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</si>
  <si>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</si>
  <si>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</si>
  <si>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</si>
  <si>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</si>
  <si>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</si>
  <si>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</si>
  <si>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</si>
  <si>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</si>
  <si>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</si>
  <si>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</si>
  <si>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</si>
  <si>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</si>
  <si>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</si>
  <si>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</si>
  <si>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</si>
  <si>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</si>
  <si>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</si>
  <si>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</si>
  <si>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</si>
  <si>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</si>
  <si>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</si>
  <si>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</si>
  <si>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</si>
  <si>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</si>
  <si>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</si>
  <si>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</si>
  <si>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</si>
  <si>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</si>
  <si>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</si>
  <si>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</si>
  <si>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</si>
  <si>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</si>
  <si>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</si>
  <si>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</si>
  <si>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</si>
  <si>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</si>
  <si>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</si>
  <si>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</si>
  <si>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</si>
  <si>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</si>
  <si>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</si>
  <si>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</si>
  <si>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</si>
  <si>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</si>
  <si>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</si>
  <si>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</si>
  <si>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</si>
  <si>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</si>
  <si>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</si>
  <si>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</si>
  <si>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</si>
  <si>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</si>
  <si>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</si>
  <si>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</si>
  <si>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</si>
  <si>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</si>
  <si>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</si>
  <si>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</si>
  <si>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</si>
  <si>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</si>
  <si>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</si>
  <si>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</si>
  <si>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</si>
  <si>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</si>
  <si>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</si>
  <si>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</si>
  <si>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</si>
  <si>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</si>
  <si>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</si>
  <si>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</si>
  <si>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</si>
  <si>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</si>
  <si>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</si>
  <si>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</si>
  <si>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</si>
  <si>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</si>
  <si>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</si>
  <si>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</si>
  <si>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</si>
  <si>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</si>
  <si>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</si>
  <si>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</si>
  <si>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</si>
  <si>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</si>
  <si>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</si>
  <si>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</si>
  <si>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</si>
  <si>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</si>
  <si>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</si>
  <si>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</si>
  <si>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</si>
  <si>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</si>
  <si>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</si>
  <si>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</si>
  <si>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</si>
  <si>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</si>
  <si>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</si>
  <si>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</si>
  <si>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</si>
  <si>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</si>
  <si>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</si>
  <si>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</si>
  <si>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</si>
  <si>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</si>
  <si>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</si>
  <si>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</si>
  <si>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</si>
  <si>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</si>
  <si>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</si>
  <si>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</si>
  <si>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</si>
  <si>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</si>
  <si>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</si>
  <si>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</si>
  <si>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</si>
  <si>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</si>
  <si>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</si>
  <si>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</si>
  <si>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</si>
  <si>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</si>
  <si>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</si>
  <si>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</si>
  <si>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</si>
  <si>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</si>
  <si>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</si>
  <si>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</si>
  <si>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</si>
  <si>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</si>
  <si>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</si>
  <si>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</si>
  <si>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</si>
  <si>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</si>
  <si>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</si>
  <si>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</si>
  <si>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</si>
  <si>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</si>
  <si>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</si>
  <si>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</si>
  <si>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</si>
  <si>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</si>
  <si>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</si>
  <si>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</si>
  <si>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</si>
  <si>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</si>
  <si>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</si>
  <si>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</si>
  <si>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</si>
  <si>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</si>
  <si>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</si>
  <si>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</si>
  <si>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</si>
  <si>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</si>
  <si>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</si>
  <si>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</si>
  <si>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</si>
  <si>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</si>
  <si>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</si>
  <si>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</si>
  <si>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</si>
  <si>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</si>
  <si>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</si>
  <si>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</si>
  <si>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</si>
  <si>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</si>
  <si>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</si>
  <si>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</si>
  <si>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</si>
  <si>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</si>
  <si>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</si>
  <si>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</si>
  <si>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</si>
  <si>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</si>
  <si>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</si>
  <si>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</si>
  <si>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</si>
  <si>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</si>
  <si>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</si>
  <si>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</si>
  <si>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</si>
  <si>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</si>
  <si>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</si>
  <si>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</si>
  <si>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</si>
  <si>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</si>
  <si>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</si>
  <si>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</si>
  <si>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</si>
  <si>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</si>
  <si>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</si>
  <si>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</si>
  <si>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</si>
  <si>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</si>
  <si>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</si>
  <si>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</si>
  <si>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</si>
  <si>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</si>
  <si>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</si>
  <si>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</si>
  <si>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</si>
  <si>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</si>
  <si>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</si>
  <si>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</si>
  <si>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</si>
  <si>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</si>
  <si>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</si>
  <si>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</si>
  <si>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</si>
  <si>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</si>
  <si>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</si>
  <si>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</si>
  <si>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</si>
  <si>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</si>
  <si>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</si>
  <si>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</si>
  <si>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</si>
  <si>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</si>
  <si>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</si>
  <si>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</si>
  <si>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</si>
  <si>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</si>
  <si>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</si>
  <si>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</si>
  <si>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</si>
  <si>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</si>
  <si>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</si>
  <si>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</si>
  <si>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</si>
  <si>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</si>
  <si>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</si>
  <si>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</si>
  <si>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</si>
  <si>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</si>
  <si>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</si>
  <si>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</si>
  <si>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</si>
  <si>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</si>
  <si>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</si>
  <si>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</si>
  <si>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</si>
  <si>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</si>
  <si>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</si>
  <si>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</si>
  <si>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</si>
  <si>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</si>
  <si>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</si>
  <si>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</si>
  <si>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</si>
  <si>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</si>
  <si>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</si>
  <si>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</si>
  <si>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</si>
  <si>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</si>
  <si>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</si>
  <si>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</si>
  <si>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</si>
  <si>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</si>
  <si>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</si>
  <si>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</si>
  <si>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</si>
  <si>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</si>
  <si>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</si>
  <si>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</si>
  <si>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</si>
  <si>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</si>
  <si>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</si>
  <si>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</si>
  <si>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</si>
  <si>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</si>
  <si>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</si>
  <si>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</si>
  <si>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</si>
  <si>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</si>
  <si>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</si>
  <si>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</si>
  <si>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</si>
  <si>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</si>
  <si>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</si>
  <si>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</si>
  <si>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</si>
  <si>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</si>
  <si>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</si>
  <si>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</si>
  <si>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</si>
  <si>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</si>
  <si>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</si>
  <si>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</si>
  <si>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</si>
  <si>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</si>
  <si>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</si>
  <si>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</si>
  <si>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</si>
  <si>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</si>
  <si>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</si>
  <si>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</si>
  <si>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</si>
  <si>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</si>
  <si>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</si>
  <si>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</si>
  <si>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</si>
  <si>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</si>
  <si>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</si>
  <si>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</si>
  <si>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</si>
  <si>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</si>
  <si>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</si>
  <si>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</si>
  <si>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</si>
  <si>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</si>
  <si>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</si>
  <si>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</si>
  <si>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</si>
  <si>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</si>
  <si>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</si>
  <si>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</si>
  <si>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</si>
  <si>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</si>
  <si>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</si>
  <si>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</si>
  <si>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</si>
  <si>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</si>
  <si>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</si>
  <si>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</si>
  <si>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</si>
  <si>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</si>
  <si>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</si>
  <si>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</si>
  <si>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</si>
  <si>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</si>
  <si>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</si>
  <si>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</si>
  <si>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</si>
  <si>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</si>
  <si>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</si>
  <si>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</si>
  <si>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</si>
  <si>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</si>
  <si>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</si>
  <si>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</si>
  <si>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</si>
  <si>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</si>
  <si>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</si>
  <si>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</si>
  <si>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</si>
  <si>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</si>
  <si>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</si>
  <si>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</si>
  <si>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</si>
  <si>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</si>
  <si>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</si>
  <si>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</si>
  <si>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</si>
  <si>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</si>
  <si>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</si>
  <si>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</si>
  <si>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</si>
  <si>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</si>
  <si>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</si>
  <si>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</si>
  <si>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</si>
  <si>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</si>
  <si>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</si>
  <si>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</si>
  <si>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</si>
  <si>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</si>
  <si>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</si>
  <si>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</si>
  <si>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</si>
  <si>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</si>
  <si>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</si>
  <si>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</si>
  <si>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</si>
  <si>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</si>
  <si>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</si>
  <si>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</si>
  <si>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</si>
  <si>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</si>
  <si>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</si>
  <si>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</si>
  <si>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</si>
  <si>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</si>
  <si>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</si>
  <si>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</si>
  <si>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</si>
  <si>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</si>
  <si>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</si>
  <si>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</si>
  <si>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</si>
  <si>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</si>
  <si>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</si>
  <si>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</si>
  <si>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</si>
  <si>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</si>
  <si>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</si>
  <si>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</si>
  <si>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</si>
  <si>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</si>
  <si>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</si>
  <si>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</si>
  <si>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</si>
  <si>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</si>
  <si>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</si>
  <si>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</si>
  <si>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</si>
  <si>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</si>
  <si>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</si>
  <si>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</si>
  <si>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</si>
  <si>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</si>
  <si>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</si>
  <si>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</si>
  <si>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</si>
  <si>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</si>
  <si>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</si>
  <si>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</si>
  <si>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</si>
  <si>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</si>
  <si>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</si>
  <si>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</si>
  <si>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</si>
  <si>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</si>
  <si>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</si>
  <si>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</si>
  <si>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</si>
  <si>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</si>
  <si>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</si>
  <si>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</si>
  <si>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</si>
  <si>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</si>
  <si>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</si>
  <si>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</si>
  <si>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</si>
  <si>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</si>
  <si>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</si>
  <si>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Sum of Quantity</t>
  </si>
  <si>
    <t>Column Labels</t>
  </si>
  <si>
    <t>Grand Total</t>
  </si>
  <si>
    <t>Count of TX ID</t>
  </si>
  <si>
    <t>Sum of Amount</t>
  </si>
  <si>
    <t>Row Labels</t>
  </si>
  <si>
    <t>Sum of Days to Deliver</t>
  </si>
  <si>
    <t>Average of Rating C</t>
  </si>
  <si>
    <t>Average of Days to Deliver</t>
  </si>
  <si>
    <t>👕Quantity</t>
  </si>
  <si>
    <t>💰Amount</t>
  </si>
  <si>
    <t>⭐Rating</t>
  </si>
  <si>
    <t>📅Days to deliver</t>
  </si>
  <si>
    <t>Jan</t>
  </si>
  <si>
    <t>Feb</t>
  </si>
  <si>
    <t>Mar</t>
  </si>
  <si>
    <t>Female</t>
  </si>
  <si>
    <t>Male</t>
  </si>
  <si>
    <t>Other</t>
  </si>
  <si>
    <t>Unknown</t>
  </si>
  <si>
    <t>morethan10</t>
  </si>
  <si>
    <t>6to10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</si>
</sst>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
    <numFmt numFmtId="165" formatCode="0.0%"/>
  </numFmts>
  <fonts count="3" x14ac:knownFonts="1">
    <font>
      <sz val="11"/>
      <color theme="1"/>
      <name val="Aptos Narrow"/>
      <family val="2"/>
      <scheme val="minor"/>
    </font>
    <font>
      <b/>
      <sz val="11"/>
      <color theme="1"/>
      <name val="Aptos Narrow"/>
      <family val="2"/>
      <scheme val="minor"/>
    </font>
    <font>
      <b/>
      <sz val="14"/>
      <color theme="0"/>
      <name val="Aptos Narrow"/>
      <family val="2"/>
      <scheme val="minor"/>
    </font>
  </fonts>
  <fills count="6">
    <fill>
      <patternFill patternType="none"/>
    </fill>
    <fill>
      <patternFill patternType="gray125"/>
    </fill>
    <fill>
      <patternFill patternType="solid">
        <fgColor theme="9"/>
        <bgColor indexed="64"/>
      </patternFill>
    </fill>
    <fill>
      <patternFill patternType="solid">
        <fgColor theme="3" tint="9.9978637043366805E-2"/>
        <bgColor indexed="64"/>
      </patternFill>
    </fill>
    <fill>
      <patternFill patternType="solid">
        <fgColor theme="4" tint="-0.249977111117893"/>
        <bgColor indexed="64"/>
      </patternFill>
    </fill>
    <fill>
      <patternFill patternType="solid">
        <fgColor theme="4" tint="-0.499984740745262"/>
        <bgColor indexed="64"/>
      </patternFill>
    </fill>
  </fills>
  <borders count="1">
    <border>
      <left/>
      <right/>
      <top/>
      <bottom/>
      <diagonal/>
    </border>
  </borders>
  <cellStyleXfs count="1">
    <xf numFmtId="0" fontId="0" fillId="0" borderId="0"/>
  </cellStyleXfs>
  <cellXfs count="15">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5" borderId="0" xfId="0" applyFill="1"/>
    <xf numFmtId="0" fontId="2" fillId="5" borderId="0" xfId="0" applyFont="1" applyFill="1"/>
    <xf numFmtId="164" fontId="0" fillId="0" borderId="0" xfId="0" applyNumberFormat="1"/>
    <xf numFmtId="10" fontId="0" fillId="0" borderId="0" xfId="0" applyNumberFormat="1"/>
    <xf numFmtId="165" fontId="0" fillId="0" borderId="0" xfId="0" applyNumberFormat="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[ecommerce_dashboard.xlsx]Reports!PivotTable9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 in the last 13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Reports!$O$4</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Reports!$N$5:$N$18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Reports!$O$5:$O$18</c:f>
              <c:numCache>
                <c:formatCode>General</c:formatCode>
                <c:ptCount val="13"/>
                <c:pt idx="0">
                  <c:v>8</c:v>
                </c:pt>
                <c:pt idx="1">
                  <c:v>26</c:v>
                </c:pt>
                <c:pt idx="2">
                  <c:v>30</c:v>
                </c:pt>
                <c:pt idx="3">
                  <c:v>9</c:v>
                </c:pt>
                <c:pt idx="4">
                  <c:v>20</c:v>
                </c:pt>
                <c:pt idx="5">
                  <c:v>44</c:v>
                </c:pt>
                <c:pt idx="6">
                  <c:v>23</c:v>
                </c:pt>
                <c:pt idx="7">
                  <c:v>115</c:v>
                </c:pt>
                <c:pt idx="8">
                  <c:v>39</c:v>
                </c:pt>
                <c:pt idx="9">
                  <c:v>37</c:v>
                </c:pt>
                <c:pt idx="10">
                  <c:v>19</c:v>
                </c:pt>
                <c:pt idx="11">
                  <c:v>113</c:v>
                </c:pt>
                <c:pt idx="12">
                  <c:v>27</c:v>
                </c:pt>
              </c:numCache>
            </c:numRef>
          </c:val>
          <c:smooth val="0"/>
          <c:extLst>
            <c:ext xmlns:c16="http://schemas.microsoft.com/office/drawing/2014/chart" uri="{C3380CC4-5D6E-409C-BE32-E72D297353CC}">
              <c16:uniqueId val="{00000000-5A72-46E6-B82A-5008D0DFD124}"/>
            </c:ext>
          </c:extLst>
        </c:ser>
        <c:dLbls>
          <c:showLegendKey val="0"/>
          <c:showVal val="0"/>
          <c:showCatName val="0"/>
          <c:showSerName val="0"/>
          <c:showPercent val="0"/>
          <c:showBubbleSize val="0"/>
        </c:dLbls>
        <c:marker val="1"/>
        <c:smooth val="0"/>
        <c:axId val="1495097296"/>
        <c:axId val="1495098736"/>
      </c:lineChart>
      <c:lineChart>
        <c:grouping val="standard"/>
        <c:varyColors val="0"/>
        <c:ser>
          <c:idx val="1"/>
          <c:order val="1"/>
          <c:tx>
            <c:strRef>
              <c:f>Reports!$P$4</c:f>
              <c:strCache>
                <c:ptCount val="1"/>
                <c:pt idx="0">
                  <c:v>Sum of Amount</c:v>
                </c:pt>
              </c:strCache>
            </c:strRef>
          </c:tx>
          <c:spPr>
            <a:ln w="28575" cap="rnd">
              <a:solidFill>
                <a:schemeClr val="accent4"/>
              </a:solidFill>
              <a:round/>
            </a:ln>
            <a:effectLst/>
          </c:spPr>
          <c:marker>
            <c:symbol val="none"/>
          </c:marker>
          <c:cat>
            <c:strRef>
              <c:f>Reports!$N$5:$N$18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Reports!$P$5:$P$18</c:f>
              <c:numCache>
                <c:formatCode>[$$-C09]#,##0</c:formatCode>
                <c:ptCount val="13"/>
                <c:pt idx="0">
                  <c:v>292.89999999999998</c:v>
                </c:pt>
                <c:pt idx="1">
                  <c:v>1257</c:v>
                </c:pt>
                <c:pt idx="2">
                  <c:v>1564.3999999999999</c:v>
                </c:pt>
                <c:pt idx="3">
                  <c:v>164.4</c:v>
                </c:pt>
                <c:pt idx="4">
                  <c:v>638.20000000000005</c:v>
                </c:pt>
                <c:pt idx="5">
                  <c:v>2659.2000000000003</c:v>
                </c:pt>
                <c:pt idx="6">
                  <c:v>1425.8999999999999</c:v>
                </c:pt>
                <c:pt idx="7">
                  <c:v>5587.8</c:v>
                </c:pt>
                <c:pt idx="8">
                  <c:v>1686.3999999999999</c:v>
                </c:pt>
                <c:pt idx="9">
                  <c:v>2470.7000000000003</c:v>
                </c:pt>
                <c:pt idx="10">
                  <c:v>1356</c:v>
                </c:pt>
                <c:pt idx="11">
                  <c:v>9067.5999999999985</c:v>
                </c:pt>
                <c:pt idx="12">
                  <c:v>1730.8999999999999</c:v>
                </c:pt>
              </c:numCache>
            </c:numRef>
          </c:val>
          <c:smooth val="0"/>
          <c:extLst>
            <c:ext xmlns:c16="http://schemas.microsoft.com/office/drawing/2014/chart" uri="{C3380CC4-5D6E-409C-BE32-E72D297353CC}">
              <c16:uniqueId val="{00000001-5A72-46E6-B82A-5008D0DFD124}"/>
            </c:ext>
          </c:extLst>
        </c:ser>
        <c:dLbls>
          <c:showLegendKey val="0"/>
          <c:showVal val="0"/>
          <c:showCatName val="0"/>
          <c:showSerName val="0"/>
          <c:showPercent val="0"/>
          <c:showBubbleSize val="0"/>
        </c:dLbls>
        <c:marker val="1"/>
        <c:smooth val="0"/>
        <c:axId val="174260640"/>
        <c:axId val="174264000"/>
      </c:lineChart>
      <c:catAx>
        <c:axId val="149509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098736"/>
        <c:crosses val="autoZero"/>
        <c:auto val="1"/>
        <c:lblAlgn val="ctr"/>
        <c:lblOffset val="100"/>
        <c:noMultiLvlLbl val="0"/>
      </c:catAx>
      <c:valAx>
        <c:axId val="1495098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097296"/>
        <c:crosses val="autoZero"/>
        <c:crossBetween val="between"/>
      </c:valAx>
      <c:valAx>
        <c:axId val="174264000"/>
        <c:scaling>
          <c:orientation val="minMax"/>
        </c:scaling>
        <c:delete val="0"/>
        <c:axPos val="r"/>
        <c:numFmt formatCode="[$$-C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0640"/>
        <c:crosses val="max"/>
        <c:crossBetween val="between"/>
      </c:valAx>
      <c:catAx>
        <c:axId val="17426064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400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[ecommerce_dashboard.xlsx]Reports!PivotTable3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Reports!$A$15:$A$22</c:f>
              <c:strCache>
                <c:ptCount val="7"/>
                <c:pt idx="0">
                  <c:v>1</c:v>
                </c:pt>
                <c:pt idx="1">
                  <c:v>2</c:v>
                </c:pt>
                <c:pt idx="2">
                  <c:v>3</c:v>
                </c:pt>
                <c:pt idx="3">
                  <c:v>4</c:v>
                </c:pt>
                <c:pt idx="4">
                  <c:v>5</c:v>
                </c:pt>
                <c:pt idx="5">
                  <c:v>6to10</c:v>
                </c:pt>
                <c:pt idx="6">
                  <c:v>morethan10</c:v>
                </c:pt>
              </c:strCache>
            </c:strRef>
          </c:cat>
          <c:val>
            <c:numRef>
              <c:f>Reports!$B$15:$B$22</c:f>
              <c:numCache>
                <c:formatCode>General</c:formatCode>
                <c:ptCount val="7"/>
                <c:pt idx="0">
                  <c:v>16</c:v>
                </c:pt>
                <c:pt idx="1">
                  <c:v>23</c:v>
                </c:pt>
                <c:pt idx="2">
                  <c:v>22</c:v>
                </c:pt>
                <c:pt idx="3">
                  <c:v>7</c:v>
                </c:pt>
                <c:pt idx="4">
                  <c:v>8</c:v>
                </c:pt>
                <c:pt idx="5">
                  <c:v>14</c:v>
                </c:pt>
                <c:pt idx="6">
                  <c:v>11</c:v>
                </c:pt>
              </c:numCache>
            </c:numRef>
          </c:val>
          <c:extLst>
            <c:ext xmlns:c16="http://schemas.microsoft.com/office/drawing/2014/chart" uri="{C3380CC4-5D6E-409C-BE32-E72D297353CC}">
              <c16:uniqueId val="{00000000-3C12-417A-A8E9-3B269143422B}"/>
            </c:ext>
          </c:extLst>
        </c:ser>
        <c:dLbls>
          <c:dLblPos val="outEnd"/>
          <c:showLegendKey val="0"/>
          <c:showVal val="1"/>
          <c:showCatName val="0"/>
          <c:showSerName val="0"/>
          <c:showPercent val="0"/>
          <c:showBubbleSize val="0"/>
        </c:dLbls>
        <c:gapWidth val="219"/>
        <c:overlap val="-27"/>
        <c:axId val="413668384"/>
        <c:axId val="413669824"/>
      </c:barChart>
      <c:catAx>
        <c:axId val="413668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669824"/>
        <c:crosses val="autoZero"/>
        <c:auto val="1"/>
        <c:lblAlgn val="ctr"/>
        <c:lblOffset val="100"/>
        <c:noMultiLvlLbl val="0"/>
      </c:catAx>
      <c:valAx>
        <c:axId val="4136698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66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[ecommerce_dashboard.xlsx]Reports!PivotTable4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products are popular?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Reports!$J$26:$J$27</c:f>
              <c:strCache>
                <c:ptCount val="1"/>
                <c:pt idx="0">
                  <c:v>Male</c:v>
                </c:pt>
              </c:strCache>
            </c:strRef>
          </c:tx>
          <c:spPr>
            <a:solidFill>
              <a:schemeClr val="accent1"/>
            </a:solidFill>
            <a:ln>
              <a:noFill/>
            </a:ln>
            <a:effectLst/>
          </c:spPr>
          <c:invertIfNegative val="0"/>
          <c:cat>
            <c:strRef>
              <c:f>Reports!$I$28:$I$45</c:f>
              <c:strCache>
                <c:ptCount val="17"/>
                <c:pt idx="0">
                  <c:v>Jeans</c:v>
                </c:pt>
                <c:pt idx="1">
                  <c:v>Bikinis</c:v>
                </c:pt>
                <c:pt idx="2">
                  <c:v>Tank Tops</c:v>
                </c:pt>
                <c:pt idx="3">
                  <c:v>Sneakers</c:v>
                </c:pt>
                <c:pt idx="4">
                  <c:v>Sandals</c:v>
                </c:pt>
                <c:pt idx="5">
                  <c:v>T-Shirts</c:v>
                </c:pt>
                <c:pt idx="6">
                  <c:v>Sundresses</c:v>
                </c:pt>
                <c:pt idx="7">
                  <c:v>Pajama Sets</c:v>
                </c:pt>
                <c:pt idx="8">
                  <c:v>Shorts</c:v>
                </c:pt>
                <c:pt idx="9">
                  <c:v>Leggings</c:v>
                </c:pt>
                <c:pt idx="10">
                  <c:v>Workout Tops</c:v>
                </c:pt>
                <c:pt idx="11">
                  <c:v>Hoodies &amp; Sweatshirts</c:v>
                </c:pt>
                <c:pt idx="12">
                  <c:v>Graphic Tees</c:v>
                </c:pt>
                <c:pt idx="13">
                  <c:v>Jewelry</c:v>
                </c:pt>
                <c:pt idx="14">
                  <c:v>Crop Tops</c:v>
                </c:pt>
                <c:pt idx="15">
                  <c:v>Tote Bags</c:v>
                </c:pt>
                <c:pt idx="16">
                  <c:v>Casual Dresses</c:v>
                </c:pt>
              </c:strCache>
            </c:strRef>
          </c:cat>
          <c:val>
            <c:numRef>
              <c:f>Reports!$J$28:$J$45</c:f>
              <c:numCache>
                <c:formatCode>General</c:formatCode>
                <c:ptCount val="17"/>
                <c:pt idx="0">
                  <c:v>108</c:v>
                </c:pt>
                <c:pt idx="1">
                  <c:v>61</c:v>
                </c:pt>
                <c:pt idx="2">
                  <c:v>47</c:v>
                </c:pt>
                <c:pt idx="3">
                  <c:v>39</c:v>
                </c:pt>
                <c:pt idx="4">
                  <c:v>39</c:v>
                </c:pt>
                <c:pt idx="5">
                  <c:v>34</c:v>
                </c:pt>
                <c:pt idx="6">
                  <c:v>34</c:v>
                </c:pt>
                <c:pt idx="7">
                  <c:v>29</c:v>
                </c:pt>
                <c:pt idx="8">
                  <c:v>28</c:v>
                </c:pt>
                <c:pt idx="9">
                  <c:v>26</c:v>
                </c:pt>
                <c:pt idx="10">
                  <c:v>20</c:v>
                </c:pt>
                <c:pt idx="11">
                  <c:v>13</c:v>
                </c:pt>
                <c:pt idx="12">
                  <c:v>10</c:v>
                </c:pt>
                <c:pt idx="13">
                  <c:v>8</c:v>
                </c:pt>
                <c:pt idx="14">
                  <c:v>6</c:v>
                </c:pt>
                <c:pt idx="15">
                  <c:v>6</c:v>
                </c:pt>
                <c:pt idx="16">
                  <c:v>2</c:v>
                </c:pt>
              </c:numCache>
            </c:numRef>
          </c:val>
          <c:extLst>
            <c:ext xmlns:c16="http://schemas.microsoft.com/office/drawing/2014/chart" uri="{C3380CC4-5D6E-409C-BE32-E72D297353CC}">
              <c16:uniqueId val="{00000000-ECD0-43A5-B41F-7AABC573D52E}"/>
            </c:ext>
          </c:extLst>
        </c:ser>
        <c:dLbls>
          <c:showLegendKey val="0"/>
          <c:showVal val="0"/>
          <c:showCatName val="0"/>
          <c:showSerName val="0"/>
          <c:showPercent val="0"/>
          <c:showBubbleSize val="0"/>
        </c:dLbls>
        <c:gapWidth val="14"/>
        <c:overlap val="100"/>
        <c:axId val="1445460480"/>
        <c:axId val="1445461440"/>
      </c:barChart>
      <c:catAx>
        <c:axId val="144546048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61440"/>
        <c:crosses val="autoZero"/>
        <c:auto val="1"/>
        <c:lblAlgn val="ctr"/>
        <c:lblOffset val="100"/>
        <c:noMultiLvlLbl val="0"/>
      </c:catAx>
      <c:valAx>
        <c:axId val="1445461440"/>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6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[ecommerce_dashboard.xlsx]Reports!PivotTable7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pivotFmt>
      <c:pivotFmt>
        <c:idx val="10"/>
      </c:pivotFmt>
    </c:pivotFmts>
    <c:plotArea>
      <c:layout/>
      <c:doughnutChart>
        <c:varyColors val="1"/>
        <c:ser>
          <c:idx val="0"/>
          <c:order val="0"/>
          <c:tx>
            <c:strRef>
              <c:f>Reports!$J$22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66-491D-9CA4-465F751D27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66-491D-9CA4-465F751D27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66-491D-9CA4-465F751D27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66-491D-9CA4-465F751D27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Reports!$I$23:$I$24</c:f>
              <c:strCache>
                <c:ptCount val="1"/>
                <c:pt idx="0">
                  <c:v>Male</c:v>
                </c:pt>
              </c:strCache>
            </c:strRef>
          </c:cat>
          <c:val>
            <c:numRef>
              <c:f>Reports!$J$23:$J$24</c:f>
              <c:numCache>
                <c:formatCode>General</c:formatCode>
                <c:ptCount val="1"/>
                <c:pt idx="0">
                  <c:v>4672</c:v>
                </c:pt>
              </c:numCache>
            </c:numRef>
          </c:val>
          <c:extLst>
            <c:ext xmlns:c16="http://schemas.microsoft.com/office/drawing/2014/chart" uri="{C3380CC4-5D6E-409C-BE32-E72D297353CC}">
              <c16:uniqueId val="{00000008-3566-491D-9CA4-465F751D27B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[ecommerce_dashboard.xlsx]Reports!PivotTable1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long we take to ship the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85290747107312E-2"/>
          <c:y val="0.23236173393124068"/>
          <c:w val="0.89659827732801001"/>
          <c:h val="0.55001294681214175"/>
        </c:manualLayout>
      </c:layout>
      <c:barChart>
        <c:barDir val="col"/>
        <c:grouping val="clustered"/>
        <c:varyColors val="0"/>
        <c:ser>
          <c:idx val="0"/>
          <c:order val="0"/>
          <c:tx>
            <c:strRef>
              <c:f>Reports!$B$34</c:f>
              <c:strCache>
                <c:ptCount val="1"/>
                <c:pt idx="0">
                  <c:v>Total</c:v>
                </c:pt>
              </c:strCache>
            </c:strRef>
          </c:tx>
          <c:spPr>
            <a:solidFill>
              <a:schemeClr val="accent1"/>
            </a:solidFill>
            <a:ln>
              <a:noFill/>
            </a:ln>
            <a:effectLst/>
          </c:spPr>
          <c:invertIfNegative val="0"/>
          <c:cat>
            <c:strRef>
              <c:f>Reports!$A$35:$A$44</c:f>
              <c:strCache>
                <c:ptCount val="9"/>
                <c:pt idx="0">
                  <c:v>0</c:v>
                </c:pt>
                <c:pt idx="1">
                  <c:v>1</c:v>
                </c:pt>
                <c:pt idx="2">
                  <c:v>2</c:v>
                </c:pt>
                <c:pt idx="3">
                  <c:v>3</c:v>
                </c:pt>
                <c:pt idx="4">
                  <c:v>4</c:v>
                </c:pt>
                <c:pt idx="5">
                  <c:v>5</c:v>
                </c:pt>
                <c:pt idx="6">
                  <c:v>6</c:v>
                </c:pt>
                <c:pt idx="7">
                  <c:v>8</c:v>
                </c:pt>
                <c:pt idx="8">
                  <c:v>11</c:v>
                </c:pt>
              </c:strCache>
            </c:strRef>
          </c:cat>
          <c:val>
            <c:numRef>
              <c:f>Reports!$B$35:$B$44</c:f>
              <c:numCache>
                <c:formatCode>General</c:formatCode>
                <c:ptCount val="9"/>
                <c:pt idx="0">
                  <c:v>9</c:v>
                </c:pt>
                <c:pt idx="1">
                  <c:v>41</c:v>
                </c:pt>
                <c:pt idx="2">
                  <c:v>26</c:v>
                </c:pt>
                <c:pt idx="3">
                  <c:v>11</c:v>
                </c:pt>
                <c:pt idx="4">
                  <c:v>6</c:v>
                </c:pt>
                <c:pt idx="5">
                  <c:v>3</c:v>
                </c:pt>
                <c:pt idx="6">
                  <c:v>3</c:v>
                </c:pt>
                <c:pt idx="7">
                  <c:v>1</c:v>
                </c:pt>
                <c:pt idx="8">
                  <c:v>1</c:v>
                </c:pt>
              </c:numCache>
            </c:numRef>
          </c:val>
          <c:extLst>
            <c:ext xmlns:c16="http://schemas.microsoft.com/office/drawing/2014/chart" uri="{C3380CC4-5D6E-409C-BE32-E72D297353CC}">
              <c16:uniqueId val="{00000000-97C3-4E05-8DF2-B38EE63535E6}"/>
            </c:ext>
          </c:extLst>
        </c:ser>
        <c:dLbls>
          <c:showLegendKey val="0"/>
          <c:showVal val="0"/>
          <c:showCatName val="0"/>
          <c:showSerName val="0"/>
          <c:showPercent val="0"/>
          <c:showBubbleSize val="0"/>
        </c:dLbls>
        <c:gapWidth val="219"/>
        <c:overlap val="-27"/>
        <c:axId val="634969056"/>
        <c:axId val="634966176"/>
      </c:barChart>
      <c:catAx>
        <c:axId val="63496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966176"/>
        <c:crosses val="autoZero"/>
        <c:auto val="1"/>
        <c:lblAlgn val="ctr"/>
        <c:lblOffset val="100"/>
        <c:noMultiLvlLbl val="0"/>
      </c:catAx>
      <c:valAx>
        <c:axId val="63496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96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[ecommerce_dashboard.xlsx]Reports!PivotTable6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happy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47576871965335E-2"/>
          <c:y val="6.665738752352926E-2"/>
          <c:w val="0.89030796150481195"/>
          <c:h val="0.74385684897495918"/>
        </c:manualLayout>
      </c:layout>
      <c:barChart>
        <c:barDir val="col"/>
        <c:grouping val="clustered"/>
        <c:varyColors val="0"/>
        <c:ser>
          <c:idx val="0"/>
          <c:order val="0"/>
          <c:tx>
            <c:strRef>
              <c:f>Reports!$E$13:$E$14</c:f>
              <c:strCache>
                <c:ptCount val="1"/>
                <c:pt idx="0">
                  <c:v>2</c:v>
                </c:pt>
              </c:strCache>
            </c:strRef>
          </c:tx>
          <c:spPr>
            <a:solidFill>
              <a:schemeClr val="accent1"/>
            </a:solidFill>
            <a:ln>
              <a:noFill/>
            </a:ln>
            <a:effectLst/>
          </c:spPr>
          <c:invertIfNegative val="0"/>
          <c:cat>
            <c:strRef>
              <c:f>Reports!$D$15:$D$18</c:f>
              <c:strCache>
                <c:ptCount val="3"/>
                <c:pt idx="0">
                  <c:v>Jan</c:v>
                </c:pt>
                <c:pt idx="1">
                  <c:v>Feb</c:v>
                </c:pt>
                <c:pt idx="2">
                  <c:v>Mar</c:v>
                </c:pt>
              </c:strCache>
            </c:strRef>
          </c:cat>
          <c:val>
            <c:numRef>
              <c:f>Reports!$E$15:$E$18</c:f>
              <c:numCache>
                <c:formatCode>General</c:formatCode>
                <c:ptCount val="3"/>
                <c:pt idx="0">
                  <c:v>5</c:v>
                </c:pt>
                <c:pt idx="1">
                  <c:v>1</c:v>
                </c:pt>
                <c:pt idx="2">
                  <c:v>1</c:v>
                </c:pt>
              </c:numCache>
            </c:numRef>
          </c:val>
          <c:extLst>
            <c:ext xmlns:c16="http://schemas.microsoft.com/office/drawing/2014/chart" uri="{C3380CC4-5D6E-409C-BE32-E72D297353CC}">
              <c16:uniqueId val="{00000000-4BCB-4093-848F-DCBBA3384674}"/>
            </c:ext>
          </c:extLst>
        </c:ser>
        <c:ser>
          <c:idx val="1"/>
          <c:order val="1"/>
          <c:tx>
            <c:strRef>
              <c:f>Reports!$F$13:$F$14</c:f>
              <c:strCache>
                <c:ptCount val="1"/>
                <c:pt idx="0">
                  <c:v>3</c:v>
                </c:pt>
              </c:strCache>
            </c:strRef>
          </c:tx>
          <c:spPr>
            <a:solidFill>
              <a:schemeClr val="accent2"/>
            </a:solidFill>
            <a:ln>
              <a:noFill/>
            </a:ln>
            <a:effectLst/>
          </c:spPr>
          <c:invertIfNegative val="0"/>
          <c:cat>
            <c:strRef>
              <c:f>Reports!$D$15:$D$18</c:f>
              <c:strCache>
                <c:ptCount val="3"/>
                <c:pt idx="0">
                  <c:v>Jan</c:v>
                </c:pt>
                <c:pt idx="1">
                  <c:v>Feb</c:v>
                </c:pt>
                <c:pt idx="2">
                  <c:v>Mar</c:v>
                </c:pt>
              </c:strCache>
            </c:strRef>
          </c:cat>
          <c:val>
            <c:numRef>
              <c:f>Reports!$F$15:$F$18</c:f>
              <c:numCache>
                <c:formatCode>General</c:formatCode>
                <c:ptCount val="3"/>
                <c:pt idx="0">
                  <c:v>8</c:v>
                </c:pt>
                <c:pt idx="1">
                  <c:v>8</c:v>
                </c:pt>
                <c:pt idx="2">
                  <c:v>9</c:v>
                </c:pt>
              </c:numCache>
            </c:numRef>
          </c:val>
          <c:extLst>
            <c:ext xmlns:c16="http://schemas.microsoft.com/office/drawing/2014/chart" uri="{C3380CC4-5D6E-409C-BE32-E72D297353CC}">
              <c16:uniqueId val="{00000001-4BCB-4093-848F-DCBBA3384674}"/>
            </c:ext>
          </c:extLst>
        </c:ser>
        <c:ser>
          <c:idx val="2"/>
          <c:order val="2"/>
          <c:tx>
            <c:strRef>
              <c:f>Reports!$G$13:$G$14</c:f>
              <c:strCache>
                <c:ptCount val="1"/>
                <c:pt idx="0">
                  <c:v>4</c:v>
                </c:pt>
              </c:strCache>
            </c:strRef>
          </c:tx>
          <c:spPr>
            <a:solidFill>
              <a:schemeClr val="accent3"/>
            </a:solidFill>
            <a:ln>
              <a:noFill/>
            </a:ln>
            <a:effectLst/>
          </c:spPr>
          <c:invertIfNegative val="0"/>
          <c:cat>
            <c:strRef>
              <c:f>Reports!$D$15:$D$18</c:f>
              <c:strCache>
                <c:ptCount val="3"/>
                <c:pt idx="0">
                  <c:v>Jan</c:v>
                </c:pt>
                <c:pt idx="1">
                  <c:v>Feb</c:v>
                </c:pt>
                <c:pt idx="2">
                  <c:v>Mar</c:v>
                </c:pt>
              </c:strCache>
            </c:strRef>
          </c:cat>
          <c:val>
            <c:numRef>
              <c:f>Reports!$G$15:$G$18</c:f>
              <c:numCache>
                <c:formatCode>General</c:formatCode>
                <c:ptCount val="3"/>
                <c:pt idx="0">
                  <c:v>3</c:v>
                </c:pt>
                <c:pt idx="1">
                  <c:v>18</c:v>
                </c:pt>
                <c:pt idx="2">
                  <c:v>19</c:v>
                </c:pt>
              </c:numCache>
            </c:numRef>
          </c:val>
          <c:extLst>
            <c:ext xmlns:c16="http://schemas.microsoft.com/office/drawing/2014/chart" uri="{C3380CC4-5D6E-409C-BE32-E72D297353CC}">
              <c16:uniqueId val="{00000002-4BCB-4093-848F-DCBBA3384674}"/>
            </c:ext>
          </c:extLst>
        </c:ser>
        <c:ser>
          <c:idx val="3"/>
          <c:order val="3"/>
          <c:tx>
            <c:strRef>
              <c:f>Reports!$H$13:$H$14</c:f>
              <c:strCache>
                <c:ptCount val="1"/>
                <c:pt idx="0">
                  <c:v>5</c:v>
                </c:pt>
              </c:strCache>
            </c:strRef>
          </c:tx>
          <c:spPr>
            <a:solidFill>
              <a:schemeClr val="accent4"/>
            </a:solidFill>
            <a:ln>
              <a:noFill/>
            </a:ln>
            <a:effectLst/>
          </c:spPr>
          <c:invertIfNegative val="0"/>
          <c:cat>
            <c:strRef>
              <c:f>Reports!$D$15:$D$18</c:f>
              <c:strCache>
                <c:ptCount val="3"/>
                <c:pt idx="0">
                  <c:v>Jan</c:v>
                </c:pt>
                <c:pt idx="1">
                  <c:v>Feb</c:v>
                </c:pt>
                <c:pt idx="2">
                  <c:v>Mar</c:v>
                </c:pt>
              </c:strCache>
            </c:strRef>
          </c:cat>
          <c:val>
            <c:numRef>
              <c:f>Reports!$H$15:$H$18</c:f>
              <c:numCache>
                <c:formatCode>General</c:formatCode>
                <c:ptCount val="3"/>
                <c:pt idx="0">
                  <c:v>3</c:v>
                </c:pt>
                <c:pt idx="1">
                  <c:v>16</c:v>
                </c:pt>
                <c:pt idx="2">
                  <c:v>10</c:v>
                </c:pt>
              </c:numCache>
            </c:numRef>
          </c:val>
          <c:extLst>
            <c:ext xmlns:c16="http://schemas.microsoft.com/office/drawing/2014/chart" uri="{C3380CC4-5D6E-409C-BE32-E72D297353CC}">
              <c16:uniqueId val="{00000003-4BCB-4093-848F-DCBBA3384674}"/>
            </c:ext>
          </c:extLst>
        </c:ser>
        <c:dLbls>
          <c:showLegendKey val="0"/>
          <c:showVal val="0"/>
          <c:showCatName val="0"/>
          <c:showSerName val="0"/>
          <c:showPercent val="0"/>
          <c:showBubbleSize val="0"/>
        </c:dLbls>
        <c:gapWidth val="219"/>
        <c:overlap val="-27"/>
        <c:axId val="1071348960"/>
        <c:axId val="457610768"/>
      </c:barChart>
      <c:catAx>
        <c:axId val="107134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610768"/>
        <c:crosses val="autoZero"/>
        <c:auto val="1"/>
        <c:lblAlgn val="ctr"/>
        <c:lblOffset val="100"/>
        <c:noMultiLvlLbl val="0"/>
      </c:catAx>
      <c:valAx>
        <c:axId val="45761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4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83820</xdr:colOff>
      <xdr:row>2</xdr:row>
      <xdr:rowOff>82296</xdr:rowOff>
    </xdr:from>
    <xdr:to>
      <xdr:col>1</xdr:col>
      <xdr:colOff>876300</xdr:colOff>
      <xdr:row>4</xdr:row>
      <xdr:rowOff>53340</xdr:rowOff>
    </xdr:to>
    <xdr:sp macro="" textlink="#REF!">
      <xdr:nvSpPr>
        <xdr:cNvPr id="7" name="TextBox 6">
          <a:extLst>
            <a:ext uri="{FF2B5EF4-FFF2-40B4-BE49-F238E27FC236}">
              <a16:creationId xmlns:a16="http://schemas.microsoft.com/office/drawing/2014/main" id="{1737B672-1655-99C7-A241-D6F1EE76A090}"/>
            </a:ext>
          </a:extLst>
        </xdr:cNvPr>
        <xdr:cNvSpPr txBox="1"/>
      </xdr:nvSpPr>
      <xdr:spPr>
        <a:xfrm>
          <a:off x="281940" y="539496"/>
          <a:ext cx="792480" cy="336804"/>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47039E5-07C1-4417-AA81-A38F555F3CF2}" type="TxLink">
            <a:rPr lang="en-US" sz="2000" b="1" i="0" u="none" strike="noStrike">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101</a:t>
          </a:fld>
          <a:endParaRPr lang="en-IN" sz="2000" b="1">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0</xdr:col>
      <xdr:colOff>190500</xdr:colOff>
      <xdr:row>4</xdr:row>
      <xdr:rowOff>217932</xdr:rowOff>
    </xdr:from>
    <xdr:to>
      <xdr:col>2</xdr:col>
      <xdr:colOff>99060</xdr:colOff>
      <xdr:row>7</xdr:row>
      <xdr:rowOff>88392</xdr:rowOff>
    </xdr:to>
    <xdr:sp macro="" textlink="#REF!">
      <xdr:nvSpPr>
        <xdr:cNvPr id="8" name="TextBox 7">
          <a:extLst>
            <a:ext uri="{FF2B5EF4-FFF2-40B4-BE49-F238E27FC236}">
              <a16:creationId xmlns:a16="http://schemas.microsoft.com/office/drawing/2014/main" id="{F979C6F4-5855-43C1-A314-253B7D157351}"/>
            </a:ext>
          </a:extLst>
        </xdr:cNvPr>
        <xdr:cNvSpPr txBox="1"/>
      </xdr:nvSpPr>
      <xdr:spPr>
        <a:xfrm>
          <a:off x="190500" y="1040892"/>
          <a:ext cx="1386840" cy="46482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D54F265-2F4A-417B-A2D4-1FB12EA01648}" type="TxLink">
            <a:rPr lang="en-US" sz="2000" b="1" i="0" u="none" strike="noStrike">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510</a:t>
          </a:fld>
          <a:endParaRPr lang="en-IN" sz="2000" b="1">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1</xdr:col>
      <xdr:colOff>7620</xdr:colOff>
      <xdr:row>9</xdr:row>
      <xdr:rowOff>18288</xdr:rowOff>
    </xdr:from>
    <xdr:to>
      <xdr:col>2</xdr:col>
      <xdr:colOff>91440</xdr:colOff>
      <xdr:row>11</xdr:row>
      <xdr:rowOff>3048</xdr:rowOff>
    </xdr:to>
    <xdr:sp macro="" textlink="#REF!">
      <xdr:nvSpPr>
        <xdr:cNvPr id="9" name="TextBox 8">
          <a:extLst>
            <a:ext uri="{FF2B5EF4-FFF2-40B4-BE49-F238E27FC236}">
              <a16:creationId xmlns:a16="http://schemas.microsoft.com/office/drawing/2014/main" id="{C73B9C2A-125E-4D3B-958B-202F7D5B1EBC}"/>
            </a:ext>
          </a:extLst>
        </xdr:cNvPr>
        <xdr:cNvSpPr txBox="1"/>
      </xdr:nvSpPr>
      <xdr:spPr>
        <a:xfrm>
          <a:off x="205740" y="1847088"/>
          <a:ext cx="1363980" cy="35052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FB3573A-42AC-4291-82EF-95D290672E5F}" type="TxLink">
            <a:rPr lang="en-US" sz="2000" b="1" i="0" u="none" strike="noStrike">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$29.9</a:t>
          </a:fld>
          <a:endParaRPr lang="en-IN" sz="2000" b="1">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1</xdr:col>
      <xdr:colOff>15240</xdr:colOff>
      <xdr:row>13</xdr:row>
      <xdr:rowOff>1524</xdr:rowOff>
    </xdr:from>
    <xdr:to>
      <xdr:col>1</xdr:col>
      <xdr:colOff>807720</xdr:colOff>
      <xdr:row>15</xdr:row>
      <xdr:rowOff>1524</xdr:rowOff>
    </xdr:to>
    <xdr:sp macro="" textlink="#REF!">
      <xdr:nvSpPr>
        <xdr:cNvPr id="10" name="TextBox 9">
          <a:extLst>
            <a:ext uri="{FF2B5EF4-FFF2-40B4-BE49-F238E27FC236}">
              <a16:creationId xmlns:a16="http://schemas.microsoft.com/office/drawing/2014/main" id="{344122BE-D44F-498B-8C67-33B10BE57B80}"/>
            </a:ext>
          </a:extLst>
        </xdr:cNvPr>
        <xdr:cNvSpPr txBox="1"/>
      </xdr:nvSpPr>
      <xdr:spPr>
        <a:xfrm>
          <a:off x="213360" y="2607564"/>
          <a:ext cx="792480" cy="36576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42542F4-BB5A-4A0E-9EB9-CD5D2F754E23}" type="TxLink">
            <a:rPr lang="en-US" sz="2000" b="1" i="0" u="none" strike="noStrike">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3.9</a:t>
          </a:fld>
          <a:endParaRPr lang="en-IN" sz="2000" b="1">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1</xdr:col>
      <xdr:colOff>99060</xdr:colOff>
      <xdr:row>17</xdr:row>
      <xdr:rowOff>7620</xdr:rowOff>
    </xdr:from>
    <xdr:to>
      <xdr:col>1</xdr:col>
      <xdr:colOff>891540</xdr:colOff>
      <xdr:row>19</xdr:row>
      <xdr:rowOff>106680</xdr:rowOff>
    </xdr:to>
    <xdr:sp macro="" textlink="#REF!">
      <xdr:nvSpPr>
        <xdr:cNvPr id="11" name="TextBox 10">
          <a:extLst>
            <a:ext uri="{FF2B5EF4-FFF2-40B4-BE49-F238E27FC236}">
              <a16:creationId xmlns:a16="http://schemas.microsoft.com/office/drawing/2014/main" id="{B900927A-CDA5-41DB-B69B-677FB773735E}"/>
            </a:ext>
          </a:extLst>
        </xdr:cNvPr>
        <xdr:cNvSpPr txBox="1"/>
      </xdr:nvSpPr>
      <xdr:spPr>
        <a:xfrm>
          <a:off x="297180" y="3390900"/>
          <a:ext cx="792480" cy="46482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6E19967-BC83-4CF9-B0AD-4A8D7F060F2B}" type="TxLink">
            <a:rPr lang="en-US" sz="2000" b="1" i="0" u="none" strike="noStrike">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2.0</a:t>
          </a:fld>
          <a:endParaRPr lang="en-IN" sz="2000" b="1">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0</xdr:col>
      <xdr:colOff>152400</xdr:colOff>
      <xdr:row>1</xdr:row>
      <xdr:rowOff>106680</xdr:rowOff>
    </xdr:from>
    <xdr:to>
      <xdr:col>1</xdr:col>
      <xdr:colOff>861060</xdr:colOff>
      <xdr:row>2</xdr:row>
      <xdr:rowOff>137160</xdr:rowOff>
    </xdr:to>
    <xdr:sp macro="" textlink="">
      <xdr:nvSpPr>
        <xdr:cNvPr id="12" name="TextBox 11">
          <a:extLst>
            <a:ext uri="{FF2B5EF4-FFF2-40B4-BE49-F238E27FC236}">
              <a16:creationId xmlns:a16="http://schemas.microsoft.com/office/drawing/2014/main" id="{18D59C62-6480-25BA-72D8-4F2DFCC28D2F}"/>
            </a:ext>
          </a:extLst>
        </xdr:cNvPr>
        <xdr:cNvSpPr txBox="1"/>
      </xdr:nvSpPr>
      <xdr:spPr>
        <a:xfrm>
          <a:off x="152400" y="289560"/>
          <a:ext cx="906780" cy="30480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chemeClr val="bg1">
                  <a:lumMod val="85000"/>
                </a:schemeClr>
              </a:solidFill>
              <a:effectLst/>
              <a:latin typeface="+mn-lt"/>
              <a:ea typeface="+mn-ea"/>
              <a:cs typeface="+mn-cs"/>
            </a:rPr>
            <a:t>🛒</a:t>
          </a:r>
          <a:r>
            <a:rPr lang="en-IN" sz="1200" b="1">
              <a:solidFill>
                <a:schemeClr val="bg1">
                  <a:lumMod val="85000"/>
                </a:schemeClr>
              </a:solidFill>
            </a:rPr>
            <a:t>Orders</a:t>
          </a:r>
        </a:p>
      </xdr:txBody>
    </xdr:sp>
    <xdr:clientData/>
  </xdr:twoCellAnchor>
  <xdr:twoCellAnchor>
    <xdr:from>
      <xdr:col>3</xdr:col>
      <xdr:colOff>45720</xdr:colOff>
      <xdr:row>1</xdr:row>
      <xdr:rowOff>76200</xdr:rowOff>
    </xdr:from>
    <xdr:to>
      <xdr:col>8</xdr:col>
      <xdr:colOff>396240</xdr:colOff>
      <xdr:row>15</xdr:row>
      <xdr:rowOff>106680</xdr:rowOff>
    </xdr:to>
    <xdr:graphicFrame macro="">
      <xdr:nvGraphicFramePr>
        <xdr:cNvPr id="14" name="Chart 13">
          <a:extLst>
            <a:ext uri="{FF2B5EF4-FFF2-40B4-BE49-F238E27FC236}">
              <a16:creationId xmlns:a16="http://schemas.microsoft.com/office/drawing/2014/main" id="{CE9B99F1-8231-41EE-8FDD-EC1D12AD4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525780</xdr:colOff>
      <xdr:row>1</xdr:row>
      <xdr:rowOff>106680</xdr:rowOff>
    </xdr:from>
    <xdr:to>
      <xdr:col>14</xdr:col>
      <xdr:colOff>76200</xdr:colOff>
      <xdr:row>15</xdr:row>
      <xdr:rowOff>83820</xdr:rowOff>
    </xdr:to>
    <xdr:sp macro="" textlink="">
      <xdr:nvSpPr>
        <xdr:cNvPr id="17" name="Rectangle 16">
          <a:extLst>
            <a:ext uri="{FF2B5EF4-FFF2-40B4-BE49-F238E27FC236}">
              <a16:creationId xmlns:a16="http://schemas.microsoft.com/office/drawing/2014/main" id="{11FADB89-41F8-17BC-7C81-9E6C4D7EB3B8}"/>
            </a:ext>
          </a:extLst>
        </xdr:cNvPr>
        <xdr:cNvSpPr/>
      </xdr:nvSpPr>
      <xdr:spPr>
        <a:xfrm>
          <a:off x="5684520" y="289560"/>
          <a:ext cx="3208020" cy="27660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121920</xdr:colOff>
          <xdr:row>3</xdr:row>
          <xdr:rowOff>15240</xdr:rowOff>
        </xdr:from>
        <xdr:to>
          <xdr:col>14</xdr:col>
          <xdr:colOff>281940</xdr:colOff>
          <xdr:row>11</xdr:row>
          <xdr:rowOff>160020</xdr:rowOff>
        </xdr:to>
        <xdr:pic>
          <xdr:nvPicPr>
            <xdr:cNvPr id="16" name="Picture 15">
              <a:extLst>
                <a:ext uri="{FF2B5EF4-FFF2-40B4-BE49-F238E27FC236}">
                  <a16:creationId xmlns:a16="http://schemas.microsoft.com/office/drawing/2014/main" id="{56A53A1A-0B72-834D-CE70-437DAE411F9F}"/>
                </a:ext>
              </a:extLst>
            </xdr:cNvPr>
            <xdr:cNvPicPr>
              <a:picLocks noChangeAspect="1" noChangeArrowheads="1"/>
              <a:extLst>
                <a:ext uri="{84589F7E-364E-4C9E-8A38-B11213B215E9}">
                  <a14:cameraTool cellRange="Reports!$H$4:$M$9" spid="_x0000_s7193"/>
                </a:ext>
              </a:extLst>
            </xdr:cNvPicPr>
          </xdr:nvPicPr>
          <xdr:blipFill>
            <a:blip xmlns:r="http://schemas.openxmlformats.org/officeDocument/2006/relationships" r:embed="rId2"/>
            <a:srcRect/>
            <a:stretch>
              <a:fillRect/>
            </a:stretch>
          </xdr:blipFill>
          <xdr:spPr bwMode="auto">
            <a:xfrm>
              <a:off x="5890260" y="655320"/>
              <a:ext cx="3208020" cy="16992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205740</xdr:colOff>
      <xdr:row>1</xdr:row>
      <xdr:rowOff>238645</xdr:rowOff>
    </xdr:from>
    <xdr:to>
      <xdr:col>18</xdr:col>
      <xdr:colOff>83820</xdr:colOff>
      <xdr:row>14</xdr:row>
      <xdr:rowOff>119496</xdr:rowOff>
    </xdr:to>
    <xdr:graphicFrame macro="">
      <xdr:nvGraphicFramePr>
        <xdr:cNvPr id="18" name="Chart 17">
          <a:extLst>
            <a:ext uri="{FF2B5EF4-FFF2-40B4-BE49-F238E27FC236}">
              <a16:creationId xmlns:a16="http://schemas.microsoft.com/office/drawing/2014/main" id="{E3404C23-C658-4CC9-A96C-8D8B8B74B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xdr:colOff>
      <xdr:row>16</xdr:row>
      <xdr:rowOff>152400</xdr:rowOff>
    </xdr:from>
    <xdr:to>
      <xdr:col>8</xdr:col>
      <xdr:colOff>601980</xdr:colOff>
      <xdr:row>38</xdr:row>
      <xdr:rowOff>15240</xdr:rowOff>
    </xdr:to>
    <xdr:graphicFrame macro="">
      <xdr:nvGraphicFramePr>
        <xdr:cNvPr id="19" name="Chart 18">
          <a:extLst>
            <a:ext uri="{FF2B5EF4-FFF2-40B4-BE49-F238E27FC236}">
              <a16:creationId xmlns:a16="http://schemas.microsoft.com/office/drawing/2014/main" id="{BD7132D6-00A5-4017-A1E4-D59B8F59C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274320</xdr:colOff>
      <xdr:row>25</xdr:row>
      <xdr:rowOff>114300</xdr:rowOff>
    </xdr:from>
    <xdr:to>
      <xdr:col>7</xdr:col>
      <xdr:colOff>7620</xdr:colOff>
      <xdr:row>36</xdr:row>
      <xdr:rowOff>45720</xdr:rowOff>
    </xdr:to>
    <xdr:graphicFrame macro="">
      <xdr:nvGraphicFramePr>
        <xdr:cNvPr id="20" name="Chart 19">
          <a:extLst>
            <a:ext uri="{FF2B5EF4-FFF2-40B4-BE49-F238E27FC236}">
              <a16:creationId xmlns:a16="http://schemas.microsoft.com/office/drawing/2014/main" id="{BCE208E1-5CF2-4A07-B669-C579B3706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137160</xdr:colOff>
      <xdr:row>16</xdr:row>
      <xdr:rowOff>213360</xdr:rowOff>
    </xdr:from>
    <xdr:to>
      <xdr:col>18</xdr:col>
      <xdr:colOff>76200</xdr:colOff>
      <xdr:row>25</xdr:row>
      <xdr:rowOff>99060</xdr:rowOff>
    </xdr:to>
    <xdr:graphicFrame macro="">
      <xdr:nvGraphicFramePr>
        <xdr:cNvPr id="21" name="Chart 20">
          <a:extLst>
            <a:ext uri="{FF2B5EF4-FFF2-40B4-BE49-F238E27FC236}">
              <a16:creationId xmlns:a16="http://schemas.microsoft.com/office/drawing/2014/main" id="{65C79B2C-DCD3-4A2C-AA4F-339EB2D20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152400</xdr:colOff>
      <xdr:row>25</xdr:row>
      <xdr:rowOff>160020</xdr:rowOff>
    </xdr:from>
    <xdr:to>
      <xdr:col>18</xdr:col>
      <xdr:colOff>99060</xdr:colOff>
      <xdr:row>37</xdr:row>
      <xdr:rowOff>121920</xdr:rowOff>
    </xdr:to>
    <xdr:graphicFrame macro="">
      <xdr:nvGraphicFramePr>
        <xdr:cNvPr id="22" name="Chart 21">
          <a:extLst>
            <a:ext uri="{FF2B5EF4-FFF2-40B4-BE49-F238E27FC236}">
              <a16:creationId xmlns:a16="http://schemas.microsoft.com/office/drawing/2014/main" id="{D34B5D1D-CC65-4F93-BB9F-1F9351B48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19</xdr:row>
      <xdr:rowOff>0</xdr:rowOff>
    </xdr:from>
    <xdr:to>
      <xdr:col>2</xdr:col>
      <xdr:colOff>281940</xdr:colOff>
      <xdr:row>28</xdr:row>
      <xdr:rowOff>167640</xdr:rowOff>
    </xdr:to>
    <mc:AlternateContent xmlns:mc="http://schemas.openxmlformats.org/markup-compatibility/2006" xmlns:a14="http://schemas.microsoft.com/office/drawing/2010/main">
      <mc:Choice Requires="a14">
        <xdr:graphicFrame macro="">
          <xdr:nvGraphicFramePr>
            <xdr:cNvPr id="25" name="Order Mode">
              <a:extLst>
                <a:ext uri="{FF2B5EF4-FFF2-40B4-BE49-F238E27FC236}">
                  <a16:creationId xmlns:a16="http://schemas.microsoft.com/office/drawing/2014/main" id="{12AFC529-FE78-4C82-974E-8BA7B7283A0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98120" y="3749040"/>
              <a:ext cx="15621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30</xdr:row>
      <xdr:rowOff>0</xdr:rowOff>
    </xdr:from>
    <xdr:to>
      <xdr:col>2</xdr:col>
      <xdr:colOff>320040</xdr:colOff>
      <xdr:row>38</xdr:row>
      <xdr:rowOff>60960</xdr:rowOff>
    </xdr:to>
    <mc:AlternateContent xmlns:mc="http://schemas.openxmlformats.org/markup-compatibility/2006" xmlns:a14="http://schemas.microsoft.com/office/drawing/2010/main">
      <mc:Choice Requires="a14">
        <xdr:graphicFrame macro="">
          <xdr:nvGraphicFramePr>
            <xdr:cNvPr id="26" name="Gender Value">
              <a:extLst>
                <a:ext uri="{FF2B5EF4-FFF2-40B4-BE49-F238E27FC236}">
                  <a16:creationId xmlns:a16="http://schemas.microsoft.com/office/drawing/2014/main" id="{D0066A67-1081-47FE-AA2C-733777893A47}"/>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98120" y="5760720"/>
              <a:ext cx="16002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419100</xdr:colOff>
      <xdr:row>1</xdr:row>
      <xdr:rowOff>175260</xdr:rowOff>
    </xdr:from>
    <xdr:to>
      <xdr:col>13</xdr:col>
      <xdr:colOff>121920</xdr:colOff>
      <xdr:row>2</xdr:row>
      <xdr:rowOff>137160</xdr:rowOff>
    </xdr:to>
    <xdr:sp macro="" textlink="">
      <xdr:nvSpPr>
        <xdr:cNvPr id="27" name="TextBox 26">
          <a:extLst>
            <a:ext uri="{FF2B5EF4-FFF2-40B4-BE49-F238E27FC236}">
              <a16:creationId xmlns:a16="http://schemas.microsoft.com/office/drawing/2014/main" id="{6F502EE4-A985-1655-43EA-078C6C43E0A8}"/>
            </a:ext>
          </a:extLst>
        </xdr:cNvPr>
        <xdr:cNvSpPr txBox="1"/>
      </xdr:nvSpPr>
      <xdr:spPr>
        <a:xfrm>
          <a:off x="6187440" y="358140"/>
          <a:ext cx="2141220" cy="23622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50000"/>
                </a:schemeClr>
              </a:solidFill>
            </a:rPr>
            <a:t>How our customers like to buy</a:t>
          </a:r>
        </a:p>
      </xdr:txBody>
    </xdr:sp>
    <xdr:clientData/>
  </xdr:twoCellAnchor>
  <xdr:twoCellAnchor editAs="oneCell">
    <xdr:from>
      <xdr:col>0</xdr:col>
      <xdr:colOff>76201</xdr:colOff>
      <xdr:row>0</xdr:row>
      <xdr:rowOff>0</xdr:rowOff>
    </xdr:from>
    <xdr:to>
      <xdr:col>1</xdr:col>
      <xdr:colOff>1219201</xdr:colOff>
      <xdr:row>1</xdr:row>
      <xdr:rowOff>205000</xdr:rowOff>
    </xdr:to>
    <xdr:pic>
      <xdr:nvPicPr>
        <xdr:cNvPr id="28" name="Picture 27">
          <a:extLst>
            <a:ext uri="{FF2B5EF4-FFF2-40B4-BE49-F238E27FC236}">
              <a16:creationId xmlns:a16="http://schemas.microsoft.com/office/drawing/2014/main" id="{DE60DF41-4F98-4C73-878B-CF521346DE6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76201" y="0"/>
          <a:ext cx="1341120" cy="3878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ndra" refreshedDate="46096.519215740744" createdVersion="8" refreshedVersion="8" minRefreshableVersion="3" recordCount="2400" xr:uid="{AB438308-63A9-4C31-A0B7-D718532875A3}">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686375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F685AE-C2AE-4EC5-BBB1-9D7DFF08EEE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N4:P18"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axis="axisRow" showAll="0">
      <items count="14">
        <item x="0"/>
        <item x="1"/>
        <item x="2"/>
        <item x="3"/>
        <item x="4"/>
        <item x="5"/>
        <item x="6"/>
        <item x="7"/>
        <item x="8"/>
        <item x="9"/>
        <item x="10"/>
        <item x="11"/>
        <item x="12"/>
        <item t="default"/>
      </items>
    </pivotField>
    <pivotField showAll="0">
      <items count="5">
        <item h="1" x="2"/>
        <item x="1"/>
        <item h="1"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010FA0-E9BB-49B4-AE01-8CFA9E73E177}"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D21:G80"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grand">
      <x/>
    </i>
  </rowItems>
  <colFields count="1">
    <field x="-2"/>
  </colFields>
  <colItems count="2">
    <i>
      <x/>
    </i>
    <i i="1">
      <x v="1"/>
    </i>
  </colItems>
  <dataFields count="2">
    <dataField name="Sum of Quantity" fld="2" baseField="0" baseItem="0"/>
    <dataField name="Sum of Amount" fld="4" baseField="0" baseItem="0"/>
  </dataFields>
  <chartFormats count="2">
    <chartFormat chart="7"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2EF092-541E-480E-9DBD-F20FB5E1D4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4:B44"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2"/>
  </rowFields>
  <rowItems count="10">
    <i>
      <x/>
    </i>
    <i>
      <x v="1"/>
    </i>
    <i>
      <x v="2"/>
    </i>
    <i>
      <x v="3"/>
    </i>
    <i>
      <x v="4"/>
    </i>
    <i>
      <x v="5"/>
    </i>
    <i>
      <x v="6"/>
    </i>
    <i>
      <x v="8"/>
    </i>
    <i>
      <x v="11"/>
    </i>
    <i t="grand">
      <x/>
    </i>
  </rowItems>
  <colItems count="1">
    <i/>
  </colItems>
  <dataFields count="1">
    <dataField name="Count of TX ID" fld="0" subtotal="count"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4CDAF-7F85-46CC-AAC0-05621629F08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3:I18"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h="1" x="0"/>
        <item h="1" x="3"/>
        <item x="4"/>
        <item h="1" x="2"/>
        <item h="1" x="1"/>
        <item t="default"/>
      </items>
    </pivotField>
    <pivotField axis="axisCol" showAll="0">
      <items count="6">
        <item x="3"/>
        <item x="4"/>
        <item x="1"/>
        <item x="0"/>
        <item x="2"/>
        <item t="default"/>
      </items>
    </pivotField>
    <pivotField showAll="0"/>
    <pivotField showAll="0"/>
    <pivotField showAll="0"/>
    <pivotField showAll="0"/>
    <pivotField showAll="0">
      <items count="5">
        <item h="1" x="2"/>
        <item x="1"/>
        <item h="1" x="3"/>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n="6to10" x="5"/>
        <item n="morethan10" x="6"/>
        <item t="default"/>
      </items>
    </pivotField>
  </pivotFields>
  <rowFields count="1">
    <field x="16"/>
  </rowFields>
  <rowItems count="4">
    <i>
      <x v="1"/>
    </i>
    <i>
      <x v="2"/>
    </i>
    <i>
      <x v="3"/>
    </i>
    <i t="grand">
      <x/>
    </i>
  </rowItems>
  <colFields count="1">
    <field x="9"/>
  </colFields>
  <colItems count="5">
    <i>
      <x v="1"/>
    </i>
    <i>
      <x v="2"/>
    </i>
    <i>
      <x v="3"/>
    </i>
    <i>
      <x v="4"/>
    </i>
    <i t="grand">
      <x/>
    </i>
  </colItems>
  <dataFields count="1">
    <dataField name="Count of TX ID" fld="0" subtotal="count" baseField="0" baseItem="0"/>
  </dataFields>
  <chartFormats count="1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5" series="1">
      <pivotArea type="data" outline="0" fieldPosition="0">
        <references count="2">
          <reference field="4294967294" count="1" selected="0">
            <x v="0"/>
          </reference>
          <reference field="9" count="1" selected="0">
            <x v="0"/>
          </reference>
        </references>
      </pivotArea>
    </chartFormat>
    <chartFormat chart="9" format="6" series="1">
      <pivotArea type="data" outline="0" fieldPosition="0">
        <references count="2">
          <reference field="4294967294" count="1" selected="0">
            <x v="0"/>
          </reference>
          <reference field="9" count="1" selected="0">
            <x v="1"/>
          </reference>
        </references>
      </pivotArea>
    </chartFormat>
    <chartFormat chart="9" format="7" series="1">
      <pivotArea type="data" outline="0" fieldPosition="0">
        <references count="2">
          <reference field="4294967294" count="1" selected="0">
            <x v="0"/>
          </reference>
          <reference field="9" count="1" selected="0">
            <x v="2"/>
          </reference>
        </references>
      </pivotArea>
    </chartFormat>
    <chartFormat chart="9" format="8" series="1">
      <pivotArea type="data" outline="0" fieldPosition="0">
        <references count="2">
          <reference field="4294967294" count="1" selected="0">
            <x v="0"/>
          </reference>
          <reference field="9" count="1" selected="0">
            <x v="3"/>
          </reference>
        </references>
      </pivotArea>
    </chartFormat>
    <chartFormat chart="9" format="9" series="1">
      <pivotArea type="data" outline="0" fieldPosition="0">
        <references count="2">
          <reference field="4294967294" count="1" selected="0">
            <x v="0"/>
          </reference>
          <reference field="9" count="1" selected="0">
            <x v="4"/>
          </reference>
        </references>
      </pivotArea>
    </chartFormat>
    <chartFormat chart="10" format="10" series="1">
      <pivotArea type="data" outline="0" fieldPosition="0">
        <references count="2">
          <reference field="4294967294" count="1" selected="0">
            <x v="0"/>
          </reference>
          <reference field="9" count="1" selected="0">
            <x v="0"/>
          </reference>
        </references>
      </pivotArea>
    </chartFormat>
    <chartFormat chart="10" format="11" series="1">
      <pivotArea type="data" outline="0" fieldPosition="0">
        <references count="2">
          <reference field="4294967294" count="1" selected="0">
            <x v="0"/>
          </reference>
          <reference field="9" count="1" selected="0">
            <x v="1"/>
          </reference>
        </references>
      </pivotArea>
    </chartFormat>
    <chartFormat chart="10" format="12" series="1">
      <pivotArea type="data" outline="0" fieldPosition="0">
        <references count="2">
          <reference field="4294967294" count="1" selected="0">
            <x v="0"/>
          </reference>
          <reference field="9" count="1" selected="0">
            <x v="2"/>
          </reference>
        </references>
      </pivotArea>
    </chartFormat>
    <chartFormat chart="10" format="13" series="1">
      <pivotArea type="data" outline="0" fieldPosition="0">
        <references count="2">
          <reference field="4294967294" count="1" selected="0">
            <x v="0"/>
          </reference>
          <reference field="9" count="1" selected="0">
            <x v="3"/>
          </reference>
        </references>
      </pivotArea>
    </chartFormat>
    <chartFormat chart="10" format="14" series="1">
      <pivotArea type="data" outline="0" fieldPosition="0">
        <references count="2">
          <reference field="4294967294" count="1" selected="0">
            <x v="0"/>
          </reference>
          <reference field="9" count="1" selected="0">
            <x v="4"/>
          </reference>
        </references>
      </pivotArea>
    </chartFormat>
    <chartFormat chart="11" format="10" series="1">
      <pivotArea type="data" outline="0" fieldPosition="0">
        <references count="2">
          <reference field="4294967294" count="1" selected="0">
            <x v="0"/>
          </reference>
          <reference field="9" count="1" selected="0">
            <x v="0"/>
          </reference>
        </references>
      </pivotArea>
    </chartFormat>
    <chartFormat chart="11" format="11" series="1">
      <pivotArea type="data" outline="0" fieldPosition="0">
        <references count="2">
          <reference field="4294967294" count="1" selected="0">
            <x v="0"/>
          </reference>
          <reference field="9" count="1" selected="0">
            <x v="1"/>
          </reference>
        </references>
      </pivotArea>
    </chartFormat>
    <chartFormat chart="11" format="12" series="1">
      <pivotArea type="data" outline="0" fieldPosition="0">
        <references count="2">
          <reference field="4294967294" count="1" selected="0">
            <x v="0"/>
          </reference>
          <reference field="9" count="1" selected="0">
            <x v="2"/>
          </reference>
        </references>
      </pivotArea>
    </chartFormat>
    <chartFormat chart="11" format="13" series="1">
      <pivotArea type="data" outline="0" fieldPosition="0">
        <references count="2">
          <reference field="4294967294" count="1" selected="0">
            <x v="0"/>
          </reference>
          <reference field="9" count="1" selected="0">
            <x v="3"/>
          </reference>
        </references>
      </pivotArea>
    </chartFormat>
    <chartFormat chart="11"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FE1554-DEAF-422E-B264-367D6B3739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B33"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pivotField showAll="0">
      <items count="5">
        <item h="1" x="2"/>
        <item x="1"/>
        <item h="1" x="3"/>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8">
        <item x="0"/>
        <item x="1"/>
        <item x="2"/>
        <item x="4"/>
        <item x="3"/>
        <item n="6to10" x="5"/>
        <item n="morethan10"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E847CF-B539-464A-A21D-9B00B8737F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6:K4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pivotField axis="axisCol" showAll="0">
      <items count="5">
        <item h="1" x="2"/>
        <item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
  </rowFields>
  <rowItems count="18">
    <i>
      <x v="6"/>
    </i>
    <i>
      <x v="1"/>
    </i>
    <i>
      <x v="16"/>
    </i>
    <i>
      <x v="13"/>
    </i>
    <i>
      <x v="11"/>
    </i>
    <i>
      <x v="18"/>
    </i>
    <i>
      <x v="14"/>
    </i>
    <i>
      <x v="10"/>
    </i>
    <i>
      <x v="12"/>
    </i>
    <i>
      <x v="8"/>
    </i>
    <i>
      <x v="19"/>
    </i>
    <i>
      <x v="5"/>
    </i>
    <i>
      <x v="4"/>
    </i>
    <i>
      <x v="7"/>
    </i>
    <i>
      <x v="3"/>
    </i>
    <i>
      <x v="17"/>
    </i>
    <i>
      <x v="2"/>
    </i>
    <i t="grand">
      <x/>
    </i>
  </rowItems>
  <colFields count="1">
    <field x="14"/>
  </colFields>
  <colItems count="2">
    <i>
      <x v="1"/>
    </i>
    <i t="grand">
      <x/>
    </i>
  </colItems>
  <dataFields count="1">
    <dataField name="Sum of Quantity" fld="2" baseField="0" baseItem="0"/>
  </dataFields>
  <chartFormats count="4">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E9B4DD-BBEA-4E9F-BBAA-CF03AB2E26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2"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pivotField showAll="0">
      <items count="5">
        <item h="1" x="2"/>
        <item x="1"/>
        <item h="1" x="3"/>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8">
        <item x="0"/>
        <item x="1"/>
        <item x="2"/>
        <item x="4"/>
        <item x="3"/>
        <item n="6to10" x="5"/>
        <item n="morethan10"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0DE8E1-8ACA-41D5-9BCE-9E98B3911AB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22:K23" firstHeaderRow="1" firstDataRow="1" firstDataCol="0"/>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dataField="1" showAll="0"/>
    <pivotField showAll="0"/>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Items count="1">
    <i/>
  </rowItems>
  <colItems count="1">
    <i/>
  </colItems>
  <dataFields count="1">
    <dataField name="Sum of Days to Delive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68707A-1466-469C-92D7-B7283EB306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11"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B9D071-231A-45CF-BA27-1523F415B75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22:J24"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Row" showAll="0">
      <items count="5">
        <item h="1" x="2"/>
        <item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4"/>
  </rowFields>
  <rowItems count="2">
    <i>
      <x v="1"/>
    </i>
    <i t="grand">
      <x/>
    </i>
  </rowItems>
  <colItems count="1">
    <i/>
  </colItems>
  <dataFields count="1">
    <dataField name="Sum of Quantity" fld="2" baseField="0" baseItem="0"/>
  </dataFields>
  <chartFormats count="13">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 chart="1" format="3"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4" count="1" selected="0">
            <x v="0"/>
          </reference>
        </references>
      </pivotArea>
    </chartFormat>
    <chartFormat chart="12" format="8">
      <pivotArea type="data" outline="0" fieldPosition="0">
        <references count="2">
          <reference field="4294967294" count="1" selected="0">
            <x v="0"/>
          </reference>
          <reference field="14" count="1" selected="0">
            <x v="1"/>
          </reference>
        </references>
      </pivotArea>
    </chartFormat>
    <chartFormat chart="12" format="9">
      <pivotArea type="data" outline="0" fieldPosition="0">
        <references count="2">
          <reference field="4294967294" count="1" selected="0">
            <x v="0"/>
          </reference>
          <reference field="14" count="1" selected="0">
            <x v="2"/>
          </reference>
        </references>
      </pivotArea>
    </chartFormat>
    <chartFormat chart="12"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FC450B-0CFF-4511-9E0A-E1940F118C1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dataField="1" showAll="0"/>
    <pivotField showAll="0"/>
    <pivotField showAll="0"/>
    <pivotField dataField="1" showAll="0">
      <items count="16">
        <item x="7"/>
        <item x="3"/>
        <item x="1"/>
        <item x="2"/>
        <item x="5"/>
        <item x="0"/>
        <item x="4"/>
        <item x="6"/>
        <item x="9"/>
        <item x="8"/>
        <item x="14"/>
        <item x="11"/>
        <item x="13"/>
        <item x="10"/>
        <item x="12"/>
        <item t="default"/>
      </items>
    </pivotField>
    <pivotField showAll="0"/>
    <pivotField showAll="0">
      <items count="5">
        <item h="1" x="2"/>
        <item x="1"/>
        <item h="1"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Sum of Quantity" fld="2" baseField="0" baseItem="0"/>
    <dataField name="Count of TX ID" fld="0" subtotal="count"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712DAABB-356C-4781-AF56-3F1B1F1B4671}" sourceName="Order Mode">
  <pivotTables>
    <pivotTable tabId="8" name="PivotTable6"/>
    <pivotTable tabId="8" name="PivotTable3"/>
    <pivotTable tabId="8" name="PivotTable5"/>
    <pivotTable tabId="8" name="PivotTable4"/>
    <pivotTable tabId="8" name="PivotTable1"/>
    <pivotTable tabId="8" name="PivotTable9"/>
    <pivotTable tabId="8" name="PivotTable10"/>
  </pivotTables>
  <data>
    <tabular pivotCacheId="686375770">
      <items count="5">
        <i x="0"/>
        <i x="3"/>
        <i x="4"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2BAD8ED-48F4-4DC6-9B42-7DC28C99471D}" sourceName="Gender Value">
  <pivotTables>
    <pivotTable tabId="8" name="PivotTable6"/>
    <pivotTable tabId="8" name="PivotTable3"/>
    <pivotTable tabId="8" name="PivotTable5"/>
    <pivotTable tabId="8" name="PivotTable7"/>
    <pivotTable tabId="8" name="PivotTable4"/>
    <pivotTable tabId="8" name="PivotTable1"/>
    <pivotTable tabId="8" name="PivotTable9"/>
    <pivotTable tabId="8" name="PivotTable10"/>
  </pivotTables>
  <data>
    <tabular pivotCacheId="686375770">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1164882-339F-43FD-830F-B10CFD654969}" cache="Slicer_Order_Mode" caption="Order Mode" rowHeight="247650"/>
  <slicer name="Gender Value" xr10:uid="{39E93765-7430-4B14-BF7C-5310D0E9BCFB}"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32F6D-D512-49A0-A7ED-5DB139A02880}">
  <dimension ref="A2:EI17"/>
  <sheetViews>
    <sheetView tabSelected="1" zoomScale="80" zoomScaleNormal="80" workbookViewId="0">
      <selection activeCell="U14" sqref="U14"/>
    </sheetView>
  </sheetViews>
  <sheetFormatPr defaultRowHeight="14.4" x14ac:dyDescent="0.3"/>
  <cols>
    <col min="1" max="1" width="2.88671875" style="9" customWidth="1"/>
    <col min="2" max="2" width="18.6640625" style="9" customWidth="1"/>
    <col min="3" max="3" width="9.21875" style="9" customWidth="1"/>
    <col min="4" max="63" width="8.88671875" style="8"/>
    <col min="64" max="139" width="8.88671875" style="7"/>
  </cols>
  <sheetData>
    <row r="2" spans="2:2" ht="21.6" customHeight="1" x14ac:dyDescent="0.3"/>
    <row r="5" spans="2:2" ht="18" x14ac:dyDescent="0.35">
      <c r="B5" s="10" t="s">
        <v>2527</v>
      </c>
    </row>
    <row r="9" spans="2:2" ht="18" x14ac:dyDescent="0.35">
      <c r="B9" s="10" t="s">
        <v>2528</v>
      </c>
    </row>
    <row r="13" spans="2:2" ht="18" x14ac:dyDescent="0.35">
      <c r="B13" s="10" t="s">
        <v>2529</v>
      </c>
    </row>
    <row r="17" spans="2:2" ht="18" x14ac:dyDescent="0.35">
      <c r="B17" s="10" t="s">
        <v>2530</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F9B8-C5CD-4ADB-853F-1E224E85ABB2}">
  <dimension ref="A1:P80"/>
  <sheetViews>
    <sheetView showGridLines="0" workbookViewId="0">
      <selection activeCell="D24" sqref="D24"/>
    </sheetView>
  </sheetViews>
  <sheetFormatPr defaultRowHeight="14.4" x14ac:dyDescent="0.3"/>
  <cols>
    <col min="1" max="1" width="14.21875" bestFit="1" customWidth="1"/>
    <col min="2" max="2" width="12.21875" bestFit="1" customWidth="1"/>
    <col min="3" max="3" width="13.5546875" bestFit="1" customWidth="1"/>
    <col min="4" max="4" width="16.6640625" bestFit="1" customWidth="1"/>
    <col min="5" max="5" width="22.33203125" bestFit="1" customWidth="1"/>
    <col min="6" max="8" width="3" bestFit="1" customWidth="1"/>
    <col min="9" max="9" width="19.109375" bestFit="1" customWidth="1"/>
    <col min="10" max="10" width="15.5546875" bestFit="1" customWidth="1"/>
    <col min="11" max="11" width="10.5546875" bestFit="1" customWidth="1"/>
    <col min="13" max="13" width="13.21875" customWidth="1"/>
    <col min="14" max="14" width="12.44140625" bestFit="1" customWidth="1"/>
    <col min="15" max="15" width="14.21875" bestFit="1" customWidth="1"/>
    <col min="16" max="16" width="13.5546875" bestFit="1" customWidth="1"/>
    <col min="17" max="19" width="3" bestFit="1" customWidth="1"/>
    <col min="20" max="20" width="10.5546875" bestFit="1" customWidth="1"/>
  </cols>
  <sheetData>
    <row r="1" spans="1:16" x14ac:dyDescent="0.3">
      <c r="A1" t="s">
        <v>2518</v>
      </c>
      <c r="B1" t="s">
        <v>2521</v>
      </c>
      <c r="C1" t="s">
        <v>2522</v>
      </c>
      <c r="D1" t="s">
        <v>2525</v>
      </c>
      <c r="E1" t="s">
        <v>2526</v>
      </c>
    </row>
    <row r="2" spans="1:16" x14ac:dyDescent="0.3">
      <c r="A2" s="14">
        <v>510</v>
      </c>
      <c r="B2" s="14">
        <v>101</v>
      </c>
      <c r="C2" s="14">
        <v>29901.399999999998</v>
      </c>
      <c r="D2" s="14">
        <v>3.9009900990099009</v>
      </c>
      <c r="E2" s="14">
        <v>2</v>
      </c>
    </row>
    <row r="4" spans="1:16" x14ac:dyDescent="0.3">
      <c r="A4" s="5" t="s">
        <v>2522</v>
      </c>
      <c r="B4" s="5" t="s">
        <v>2519</v>
      </c>
      <c r="I4" t="str">
        <f t="shared" ref="I4:L9" si="0">B5</f>
        <v>Female</v>
      </c>
      <c r="J4" t="str">
        <f t="shared" si="0"/>
        <v>Male</v>
      </c>
      <c r="K4" t="str">
        <f t="shared" si="0"/>
        <v>Other</v>
      </c>
      <c r="L4" t="str">
        <f t="shared" si="0"/>
        <v>Unknown</v>
      </c>
      <c r="N4" s="5" t="s">
        <v>2523</v>
      </c>
      <c r="O4" t="s">
        <v>2518</v>
      </c>
      <c r="P4" t="s">
        <v>2522</v>
      </c>
    </row>
    <row r="5" spans="1:16" x14ac:dyDescent="0.3">
      <c r="A5" s="5" t="s">
        <v>2523</v>
      </c>
      <c r="B5" t="s">
        <v>2534</v>
      </c>
      <c r="C5" t="s">
        <v>2535</v>
      </c>
      <c r="D5" t="s">
        <v>2536</v>
      </c>
      <c r="E5" t="s">
        <v>2537</v>
      </c>
      <c r="F5" t="s">
        <v>2520</v>
      </c>
      <c r="H5" s="13" t="str">
        <f>A6</f>
        <v>App</v>
      </c>
      <c r="I5" s="13">
        <f t="shared" si="0"/>
        <v>0.18961825201634841</v>
      </c>
      <c r="J5" s="13">
        <f t="shared" si="0"/>
        <v>0.12262322351336576</v>
      </c>
      <c r="K5" s="13">
        <f t="shared" si="0"/>
        <v>1.060537752469185E-2</v>
      </c>
      <c r="L5" s="13">
        <f t="shared" si="0"/>
        <v>3.0599220547662797E-2</v>
      </c>
      <c r="N5" s="6">
        <v>1</v>
      </c>
      <c r="O5" s="14">
        <v>8</v>
      </c>
      <c r="P5" s="11">
        <v>292.89999999999998</v>
      </c>
    </row>
    <row r="6" spans="1:16" x14ac:dyDescent="0.3">
      <c r="A6" s="6" t="s">
        <v>18</v>
      </c>
      <c r="B6" s="12">
        <v>0.18961825201634841</v>
      </c>
      <c r="C6" s="12">
        <v>0.12262322351336576</v>
      </c>
      <c r="D6" s="12">
        <v>1.060537752469185E-2</v>
      </c>
      <c r="E6" s="12">
        <v>3.0599220547662797E-2</v>
      </c>
      <c r="F6" s="12">
        <v>0.35344607360206881</v>
      </c>
      <c r="H6" s="13" t="str">
        <f>A7</f>
        <v>Instagram</v>
      </c>
      <c r="I6" s="13">
        <f t="shared" si="0"/>
        <v>5.0283982091147303E-2</v>
      </c>
      <c r="J6" s="13">
        <f t="shared" si="0"/>
        <v>4.3060781812819873E-2</v>
      </c>
      <c r="K6" s="13">
        <f t="shared" si="0"/>
        <v>1.5320025675641944E-3</v>
      </c>
      <c r="L6" s="13">
        <f t="shared" si="0"/>
        <v>1.7794988689097006E-2</v>
      </c>
      <c r="N6" s="6">
        <v>2</v>
      </c>
      <c r="O6" s="14">
        <v>26</v>
      </c>
      <c r="P6" s="11">
        <v>1257</v>
      </c>
    </row>
    <row r="7" spans="1:16" x14ac:dyDescent="0.3">
      <c r="A7" s="6" t="s">
        <v>51</v>
      </c>
      <c r="B7" s="12">
        <v>5.0283982091147303E-2</v>
      </c>
      <c r="C7" s="12">
        <v>4.3060781812819873E-2</v>
      </c>
      <c r="D7" s="12">
        <v>1.5320025675641944E-3</v>
      </c>
      <c r="E7" s="12">
        <v>1.7794988689097006E-2</v>
      </c>
      <c r="F7" s="12">
        <v>0.11267175516062837</v>
      </c>
      <c r="H7" s="13" t="str">
        <f>A8</f>
        <v>Partner App</v>
      </c>
      <c r="I7" s="13">
        <f t="shared" si="0"/>
        <v>6.3496059750411282E-2</v>
      </c>
      <c r="J7" s="13">
        <f t="shared" si="0"/>
        <v>4.6071629863988765E-2</v>
      </c>
      <c r="K7" s="13">
        <f t="shared" si="0"/>
        <v>2.306247051322625E-3</v>
      </c>
      <c r="L7" s="13">
        <f t="shared" si="0"/>
        <v>3.8927934093844286E-3</v>
      </c>
      <c r="N7" s="6">
        <v>3</v>
      </c>
      <c r="O7" s="14">
        <v>30</v>
      </c>
      <c r="P7" s="11">
        <v>1564.3999999999999</v>
      </c>
    </row>
    <row r="8" spans="1:16" x14ac:dyDescent="0.3">
      <c r="A8" s="6" t="s">
        <v>70</v>
      </c>
      <c r="B8" s="12">
        <v>6.3496059750411282E-2</v>
      </c>
      <c r="C8" s="12">
        <v>4.6071629863988765E-2</v>
      </c>
      <c r="D8" s="12">
        <v>2.306247051322625E-3</v>
      </c>
      <c r="E8" s="12">
        <v>3.8927934093844286E-3</v>
      </c>
      <c r="F8" s="12">
        <v>0.11576673007510711</v>
      </c>
      <c r="H8" s="13" t="str">
        <f>A9</f>
        <v>Target.com</v>
      </c>
      <c r="I8" s="13">
        <f t="shared" si="0"/>
        <v>9.6337892927149532E-2</v>
      </c>
      <c r="J8" s="13">
        <f t="shared" si="0"/>
        <v>6.7920115842382611E-2</v>
      </c>
      <c r="K8" s="13">
        <f t="shared" si="0"/>
        <v>5.4979832664581261E-3</v>
      </c>
      <c r="L8" s="13">
        <f t="shared" si="0"/>
        <v>1.2933041488102518E-2</v>
      </c>
      <c r="N8" s="6">
        <v>4</v>
      </c>
      <c r="O8" s="14">
        <v>9</v>
      </c>
      <c r="P8" s="11">
        <v>164.4</v>
      </c>
    </row>
    <row r="9" spans="1:16" x14ac:dyDescent="0.3">
      <c r="A9" s="6" t="s">
        <v>40</v>
      </c>
      <c r="B9" s="12">
        <v>9.6337892927149532E-2</v>
      </c>
      <c r="C9" s="12">
        <v>6.7920115842382611E-2</v>
      </c>
      <c r="D9" s="12">
        <v>5.4979832664581261E-3</v>
      </c>
      <c r="E9" s="12">
        <v>1.2933041488102518E-2</v>
      </c>
      <c r="F9" s="12">
        <v>0.1826890335240928</v>
      </c>
      <c r="H9" s="13" t="str">
        <f>A10</f>
        <v>Website</v>
      </c>
      <c r="I9" s="13">
        <f t="shared" si="0"/>
        <v>0.12522098709469262</v>
      </c>
      <c r="J9" s="13">
        <f t="shared" si="0"/>
        <v>9.1492740283116228E-2</v>
      </c>
      <c r="K9" s="13">
        <f t="shared" si="0"/>
        <v>6.3042760790965081E-3</v>
      </c>
      <c r="L9" s="13">
        <f t="shared" si="0"/>
        <v>1.2408404181197551E-2</v>
      </c>
      <c r="N9" s="6">
        <v>5</v>
      </c>
      <c r="O9" s="14">
        <v>20</v>
      </c>
      <c r="P9" s="11">
        <v>638.20000000000005</v>
      </c>
    </row>
    <row r="10" spans="1:16" x14ac:dyDescent="0.3">
      <c r="A10" s="6" t="s">
        <v>35</v>
      </c>
      <c r="B10" s="12">
        <v>0.12522098709469262</v>
      </c>
      <c r="C10" s="12">
        <v>9.1492740283116228E-2</v>
      </c>
      <c r="D10" s="12">
        <v>6.3042760790965081E-3</v>
      </c>
      <c r="E10" s="12">
        <v>1.2408404181197551E-2</v>
      </c>
      <c r="F10" s="12">
        <v>0.23542640763810288</v>
      </c>
      <c r="N10" s="6">
        <v>6</v>
      </c>
      <c r="O10" s="14">
        <v>44</v>
      </c>
      <c r="P10" s="11">
        <v>2659.2000000000003</v>
      </c>
    </row>
    <row r="11" spans="1:16" x14ac:dyDescent="0.3">
      <c r="A11" s="6" t="s">
        <v>2520</v>
      </c>
      <c r="B11" s="12">
        <v>0.52495717387974916</v>
      </c>
      <c r="C11" s="12">
        <v>0.3711684913156732</v>
      </c>
      <c r="D11" s="12">
        <v>2.6245886489133303E-2</v>
      </c>
      <c r="E11" s="12">
        <v>7.7628448315444312E-2</v>
      </c>
      <c r="F11" s="12">
        <v>1</v>
      </c>
      <c r="N11" s="6">
        <v>7</v>
      </c>
      <c r="O11" s="14">
        <v>23</v>
      </c>
      <c r="P11" s="11">
        <v>1425.8999999999999</v>
      </c>
    </row>
    <row r="12" spans="1:16" x14ac:dyDescent="0.3">
      <c r="N12" s="6">
        <v>8</v>
      </c>
      <c r="O12" s="14">
        <v>115</v>
      </c>
      <c r="P12" s="11">
        <v>5587.8</v>
      </c>
    </row>
    <row r="13" spans="1:16" x14ac:dyDescent="0.3">
      <c r="D13" s="5" t="s">
        <v>2521</v>
      </c>
      <c r="E13" s="5" t="s">
        <v>2519</v>
      </c>
      <c r="N13" s="6">
        <v>9</v>
      </c>
      <c r="O13" s="14">
        <v>39</v>
      </c>
      <c r="P13" s="11">
        <v>1686.3999999999999</v>
      </c>
    </row>
    <row r="14" spans="1:16" x14ac:dyDescent="0.3">
      <c r="A14" s="5" t="s">
        <v>2523</v>
      </c>
      <c r="B14" t="s">
        <v>2521</v>
      </c>
      <c r="D14" s="5" t="s">
        <v>2523</v>
      </c>
      <c r="E14">
        <v>2</v>
      </c>
      <c r="F14">
        <v>3</v>
      </c>
      <c r="G14">
        <v>4</v>
      </c>
      <c r="H14">
        <v>5</v>
      </c>
      <c r="I14" t="s">
        <v>2520</v>
      </c>
      <c r="N14" s="6">
        <v>10</v>
      </c>
      <c r="O14" s="14">
        <v>37</v>
      </c>
      <c r="P14" s="11">
        <v>2470.7000000000003</v>
      </c>
    </row>
    <row r="15" spans="1:16" x14ac:dyDescent="0.3">
      <c r="A15" s="6">
        <v>1</v>
      </c>
      <c r="B15" s="14">
        <v>16</v>
      </c>
      <c r="D15" s="6" t="s">
        <v>2531</v>
      </c>
      <c r="E15" s="14">
        <v>5</v>
      </c>
      <c r="F15" s="14">
        <v>8</v>
      </c>
      <c r="G15" s="14">
        <v>3</v>
      </c>
      <c r="H15" s="14">
        <v>3</v>
      </c>
      <c r="I15" s="14">
        <v>19</v>
      </c>
      <c r="N15" s="6">
        <v>11</v>
      </c>
      <c r="O15" s="14">
        <v>19</v>
      </c>
      <c r="P15" s="11">
        <v>1356</v>
      </c>
    </row>
    <row r="16" spans="1:16" x14ac:dyDescent="0.3">
      <c r="A16" s="6">
        <v>2</v>
      </c>
      <c r="B16" s="14">
        <v>23</v>
      </c>
      <c r="D16" s="6" t="s">
        <v>2532</v>
      </c>
      <c r="E16" s="14">
        <v>1</v>
      </c>
      <c r="F16" s="14">
        <v>8</v>
      </c>
      <c r="G16" s="14">
        <v>18</v>
      </c>
      <c r="H16" s="14">
        <v>16</v>
      </c>
      <c r="I16" s="14">
        <v>43</v>
      </c>
      <c r="N16" s="6">
        <v>12</v>
      </c>
      <c r="O16" s="14">
        <v>113</v>
      </c>
      <c r="P16" s="11">
        <v>9067.5999999999985</v>
      </c>
    </row>
    <row r="17" spans="1:16" x14ac:dyDescent="0.3">
      <c r="A17" s="6">
        <v>3</v>
      </c>
      <c r="B17" s="14">
        <v>22</v>
      </c>
      <c r="D17" s="6" t="s">
        <v>2533</v>
      </c>
      <c r="E17" s="14">
        <v>1</v>
      </c>
      <c r="F17" s="14">
        <v>9</v>
      </c>
      <c r="G17" s="14">
        <v>19</v>
      </c>
      <c r="H17" s="14">
        <v>10</v>
      </c>
      <c r="I17" s="14">
        <v>39</v>
      </c>
      <c r="N17" s="6">
        <v>13</v>
      </c>
      <c r="O17" s="14">
        <v>27</v>
      </c>
      <c r="P17" s="11">
        <v>1730.8999999999999</v>
      </c>
    </row>
    <row r="18" spans="1:16" x14ac:dyDescent="0.3">
      <c r="A18" s="6">
        <v>4</v>
      </c>
      <c r="B18" s="14">
        <v>7</v>
      </c>
      <c r="D18" s="6" t="s">
        <v>2520</v>
      </c>
      <c r="E18" s="14">
        <v>7</v>
      </c>
      <c r="F18" s="14">
        <v>25</v>
      </c>
      <c r="G18" s="14">
        <v>40</v>
      </c>
      <c r="H18" s="14">
        <v>29</v>
      </c>
      <c r="I18" s="14">
        <v>101</v>
      </c>
      <c r="N18" s="6" t="s">
        <v>2520</v>
      </c>
      <c r="O18" s="14">
        <v>510</v>
      </c>
      <c r="P18" s="11">
        <v>29901.399999999998</v>
      </c>
    </row>
    <row r="19" spans="1:16" x14ac:dyDescent="0.3">
      <c r="A19" s="6">
        <v>5</v>
      </c>
      <c r="B19" s="14">
        <v>8</v>
      </c>
    </row>
    <row r="20" spans="1:16" x14ac:dyDescent="0.3">
      <c r="A20" s="6" t="s">
        <v>2539</v>
      </c>
      <c r="B20" s="14">
        <v>14</v>
      </c>
    </row>
    <row r="21" spans="1:16" x14ac:dyDescent="0.3">
      <c r="A21" s="6" t="s">
        <v>2538</v>
      </c>
      <c r="B21" s="14">
        <v>11</v>
      </c>
      <c r="D21" s="5" t="s">
        <v>10</v>
      </c>
      <c r="E21" s="5" t="s">
        <v>11</v>
      </c>
      <c r="F21" t="s">
        <v>2518</v>
      </c>
      <c r="G21" t="s">
        <v>2522</v>
      </c>
    </row>
    <row r="22" spans="1:16" x14ac:dyDescent="0.3">
      <c r="A22" s="6" t="s">
        <v>2520</v>
      </c>
      <c r="B22" s="14">
        <v>101</v>
      </c>
      <c r="D22" t="s">
        <v>19</v>
      </c>
      <c r="E22" t="s">
        <v>115</v>
      </c>
      <c r="F22">
        <v>579</v>
      </c>
      <c r="G22">
        <v>31884.999999999996</v>
      </c>
      <c r="I22" s="5" t="s">
        <v>2523</v>
      </c>
      <c r="J22" t="s">
        <v>2518</v>
      </c>
      <c r="K22" t="s">
        <v>2524</v>
      </c>
    </row>
    <row r="23" spans="1:16" x14ac:dyDescent="0.3">
      <c r="D23" t="s">
        <v>19</v>
      </c>
      <c r="E23" t="s">
        <v>20</v>
      </c>
      <c r="F23">
        <v>1</v>
      </c>
      <c r="G23">
        <v>10.9</v>
      </c>
      <c r="I23" s="6" t="s">
        <v>2535</v>
      </c>
      <c r="J23" s="14">
        <v>4672</v>
      </c>
      <c r="K23">
        <v>5622</v>
      </c>
    </row>
    <row r="24" spans="1:16" x14ac:dyDescent="0.3">
      <c r="D24" t="s">
        <v>19</v>
      </c>
      <c r="E24" t="s">
        <v>641</v>
      </c>
      <c r="F24">
        <v>9</v>
      </c>
      <c r="G24">
        <v>800.3</v>
      </c>
      <c r="I24" s="6" t="s">
        <v>2520</v>
      </c>
      <c r="J24" s="14">
        <v>4672</v>
      </c>
    </row>
    <row r="25" spans="1:16" x14ac:dyDescent="0.3">
      <c r="A25" s="5" t="s">
        <v>2523</v>
      </c>
      <c r="B25" t="s">
        <v>2521</v>
      </c>
      <c r="D25" t="s">
        <v>19</v>
      </c>
      <c r="E25" t="s">
        <v>967</v>
      </c>
      <c r="F25">
        <v>35</v>
      </c>
      <c r="G25">
        <v>1062.5999999999999</v>
      </c>
    </row>
    <row r="26" spans="1:16" x14ac:dyDescent="0.3">
      <c r="A26" s="6">
        <v>1</v>
      </c>
      <c r="B26" s="14">
        <v>16</v>
      </c>
      <c r="D26" t="s">
        <v>19</v>
      </c>
      <c r="E26" t="s">
        <v>84</v>
      </c>
      <c r="F26">
        <v>12</v>
      </c>
      <c r="G26">
        <v>326.20000000000005</v>
      </c>
      <c r="I26" s="5" t="s">
        <v>2518</v>
      </c>
      <c r="J26" s="5" t="s">
        <v>2519</v>
      </c>
    </row>
    <row r="27" spans="1:16" x14ac:dyDescent="0.3">
      <c r="A27" s="6">
        <v>2</v>
      </c>
      <c r="B27" s="14">
        <v>23</v>
      </c>
      <c r="D27" t="s">
        <v>19</v>
      </c>
      <c r="E27" t="s">
        <v>1383</v>
      </c>
      <c r="F27">
        <v>4</v>
      </c>
      <c r="G27">
        <v>167.5</v>
      </c>
      <c r="I27" s="5" t="s">
        <v>2523</v>
      </c>
      <c r="J27" t="s">
        <v>2535</v>
      </c>
      <c r="K27" t="s">
        <v>2520</v>
      </c>
    </row>
    <row r="28" spans="1:16" x14ac:dyDescent="0.3">
      <c r="A28" s="6">
        <v>3</v>
      </c>
      <c r="B28" s="14">
        <v>22</v>
      </c>
      <c r="D28" t="s">
        <v>19</v>
      </c>
      <c r="E28" t="s">
        <v>24</v>
      </c>
      <c r="F28">
        <v>341</v>
      </c>
      <c r="G28">
        <v>16168.7</v>
      </c>
      <c r="I28" s="6" t="s">
        <v>39</v>
      </c>
      <c r="J28" s="14">
        <v>108</v>
      </c>
      <c r="K28" s="14">
        <v>108</v>
      </c>
    </row>
    <row r="29" spans="1:16" x14ac:dyDescent="0.3">
      <c r="A29" s="6">
        <v>4</v>
      </c>
      <c r="B29" s="14">
        <v>7</v>
      </c>
      <c r="D29" t="s">
        <v>19</v>
      </c>
      <c r="E29" t="s">
        <v>2204</v>
      </c>
      <c r="F29">
        <v>13</v>
      </c>
      <c r="G29">
        <v>322.40000000000003</v>
      </c>
      <c r="I29" s="6" t="s">
        <v>54</v>
      </c>
      <c r="J29" s="14">
        <v>61</v>
      </c>
      <c r="K29" s="14">
        <v>61</v>
      </c>
    </row>
    <row r="30" spans="1:16" x14ac:dyDescent="0.3">
      <c r="A30" s="6">
        <v>5</v>
      </c>
      <c r="B30" s="14">
        <v>8</v>
      </c>
      <c r="D30" t="s">
        <v>19</v>
      </c>
      <c r="E30" t="s">
        <v>437</v>
      </c>
      <c r="F30">
        <v>31</v>
      </c>
      <c r="G30">
        <v>2092.8000000000002</v>
      </c>
      <c r="I30" s="6" t="s">
        <v>22</v>
      </c>
      <c r="J30" s="14">
        <v>47</v>
      </c>
      <c r="K30" s="14">
        <v>47</v>
      </c>
    </row>
    <row r="31" spans="1:16" x14ac:dyDescent="0.3">
      <c r="A31" s="6" t="s">
        <v>2539</v>
      </c>
      <c r="B31" s="14">
        <v>14</v>
      </c>
      <c r="D31" t="s">
        <v>19</v>
      </c>
      <c r="E31" t="s">
        <v>28</v>
      </c>
      <c r="F31">
        <v>279</v>
      </c>
      <c r="G31">
        <v>12662.500000000002</v>
      </c>
      <c r="I31" s="6" t="s">
        <v>26</v>
      </c>
      <c r="J31" s="14">
        <v>39</v>
      </c>
      <c r="K31" s="14">
        <v>39</v>
      </c>
    </row>
    <row r="32" spans="1:16" x14ac:dyDescent="0.3">
      <c r="A32" s="6" t="s">
        <v>2538</v>
      </c>
      <c r="B32" s="14">
        <v>11</v>
      </c>
      <c r="D32" t="s">
        <v>19</v>
      </c>
      <c r="E32" t="s">
        <v>208</v>
      </c>
      <c r="F32">
        <v>9</v>
      </c>
      <c r="G32">
        <v>343.2</v>
      </c>
      <c r="I32" s="6" t="s">
        <v>37</v>
      </c>
      <c r="J32" s="14">
        <v>39</v>
      </c>
      <c r="K32" s="14">
        <v>39</v>
      </c>
    </row>
    <row r="33" spans="1:11" x14ac:dyDescent="0.3">
      <c r="A33" s="6" t="s">
        <v>2520</v>
      </c>
      <c r="B33" s="14">
        <v>101</v>
      </c>
      <c r="D33" t="s">
        <v>19</v>
      </c>
      <c r="E33" t="s">
        <v>587</v>
      </c>
      <c r="F33">
        <v>49</v>
      </c>
      <c r="G33">
        <v>2188.2999999999997</v>
      </c>
      <c r="I33" s="6" t="s">
        <v>44</v>
      </c>
      <c r="J33" s="14">
        <v>34</v>
      </c>
      <c r="K33" s="14">
        <v>34</v>
      </c>
    </row>
    <row r="34" spans="1:11" x14ac:dyDescent="0.3">
      <c r="A34" s="5" t="s">
        <v>2523</v>
      </c>
      <c r="B34" t="s">
        <v>2521</v>
      </c>
      <c r="D34" t="s">
        <v>19</v>
      </c>
      <c r="E34" t="s">
        <v>331</v>
      </c>
      <c r="F34">
        <v>59</v>
      </c>
      <c r="G34">
        <v>2661.5999999999995</v>
      </c>
      <c r="I34" s="6" t="s">
        <v>46</v>
      </c>
      <c r="J34" s="14">
        <v>34</v>
      </c>
      <c r="K34" s="14">
        <v>34</v>
      </c>
    </row>
    <row r="35" spans="1:11" x14ac:dyDescent="0.3">
      <c r="A35" s="6">
        <v>0</v>
      </c>
      <c r="B35" s="14">
        <v>9</v>
      </c>
      <c r="D35" t="s">
        <v>19</v>
      </c>
      <c r="E35" t="s">
        <v>86</v>
      </c>
      <c r="F35">
        <v>8</v>
      </c>
      <c r="G35">
        <v>887.5</v>
      </c>
      <c r="I35" s="6" t="s">
        <v>135</v>
      </c>
      <c r="J35" s="14">
        <v>29</v>
      </c>
      <c r="K35" s="14">
        <v>29</v>
      </c>
    </row>
    <row r="36" spans="1:11" x14ac:dyDescent="0.3">
      <c r="A36" s="6">
        <v>1</v>
      </c>
      <c r="B36" s="14">
        <v>41</v>
      </c>
      <c r="D36" t="s">
        <v>19</v>
      </c>
      <c r="E36" t="s">
        <v>147</v>
      </c>
      <c r="F36">
        <v>222</v>
      </c>
      <c r="G36">
        <v>11354.199999999993</v>
      </c>
      <c r="I36" s="6" t="s">
        <v>16</v>
      </c>
      <c r="J36" s="14">
        <v>28</v>
      </c>
      <c r="K36" s="14">
        <v>28</v>
      </c>
    </row>
    <row r="37" spans="1:11" x14ac:dyDescent="0.3">
      <c r="A37" s="6">
        <v>2</v>
      </c>
      <c r="B37" s="14">
        <v>26</v>
      </c>
      <c r="D37" t="s">
        <v>19</v>
      </c>
      <c r="E37" t="s">
        <v>334</v>
      </c>
      <c r="F37">
        <v>36</v>
      </c>
      <c r="G37">
        <v>1558.4</v>
      </c>
      <c r="I37" s="6" t="s">
        <v>146</v>
      </c>
      <c r="J37" s="14">
        <v>26</v>
      </c>
      <c r="K37" s="14">
        <v>26</v>
      </c>
    </row>
    <row r="38" spans="1:11" x14ac:dyDescent="0.3">
      <c r="A38" s="6">
        <v>3</v>
      </c>
      <c r="B38" s="14">
        <v>11</v>
      </c>
      <c r="D38" t="s">
        <v>19</v>
      </c>
      <c r="E38" t="s">
        <v>949</v>
      </c>
      <c r="F38">
        <v>30</v>
      </c>
      <c r="G38">
        <v>2223.9</v>
      </c>
      <c r="I38" s="6" t="s">
        <v>30</v>
      </c>
      <c r="J38" s="14">
        <v>20</v>
      </c>
      <c r="K38" s="14">
        <v>20</v>
      </c>
    </row>
    <row r="39" spans="1:11" x14ac:dyDescent="0.3">
      <c r="A39" s="6">
        <v>4</v>
      </c>
      <c r="B39" s="14">
        <v>6</v>
      </c>
      <c r="D39" t="s">
        <v>19</v>
      </c>
      <c r="E39" t="s">
        <v>1426</v>
      </c>
      <c r="F39">
        <v>1</v>
      </c>
      <c r="G39">
        <v>26.2</v>
      </c>
      <c r="I39" s="6" t="s">
        <v>42</v>
      </c>
      <c r="J39" s="14">
        <v>13</v>
      </c>
      <c r="K39" s="14">
        <v>13</v>
      </c>
    </row>
    <row r="40" spans="1:11" x14ac:dyDescent="0.3">
      <c r="A40" s="6">
        <v>5</v>
      </c>
      <c r="B40" s="14">
        <v>3</v>
      </c>
      <c r="D40" t="s">
        <v>19</v>
      </c>
      <c r="E40" t="s">
        <v>33</v>
      </c>
      <c r="F40">
        <v>3991</v>
      </c>
      <c r="G40">
        <v>215551.19999999981</v>
      </c>
      <c r="I40" s="6" t="s">
        <v>32</v>
      </c>
      <c r="J40" s="14">
        <v>10</v>
      </c>
      <c r="K40" s="14">
        <v>10</v>
      </c>
    </row>
    <row r="41" spans="1:11" x14ac:dyDescent="0.3">
      <c r="A41" s="6">
        <v>6</v>
      </c>
      <c r="B41" s="14">
        <v>3</v>
      </c>
      <c r="D41" t="s">
        <v>19</v>
      </c>
      <c r="E41" t="s">
        <v>364</v>
      </c>
      <c r="F41">
        <v>45</v>
      </c>
      <c r="G41">
        <v>2687.3999999999996</v>
      </c>
      <c r="I41" s="6" t="s">
        <v>171</v>
      </c>
      <c r="J41" s="14">
        <v>8</v>
      </c>
      <c r="K41" s="14">
        <v>8</v>
      </c>
    </row>
    <row r="42" spans="1:11" x14ac:dyDescent="0.3">
      <c r="A42" s="6">
        <v>8</v>
      </c>
      <c r="B42" s="14">
        <v>1</v>
      </c>
      <c r="D42" t="s">
        <v>19</v>
      </c>
      <c r="E42" t="s">
        <v>545</v>
      </c>
      <c r="F42">
        <v>39</v>
      </c>
      <c r="G42">
        <v>1463.3000000000002</v>
      </c>
      <c r="I42" s="6" t="s">
        <v>123</v>
      </c>
      <c r="J42" s="14">
        <v>6</v>
      </c>
      <c r="K42" s="14">
        <v>6</v>
      </c>
    </row>
    <row r="43" spans="1:11" x14ac:dyDescent="0.3">
      <c r="A43" s="6">
        <v>11</v>
      </c>
      <c r="B43" s="14">
        <v>1</v>
      </c>
      <c r="D43" t="s">
        <v>19</v>
      </c>
      <c r="E43" t="s">
        <v>416</v>
      </c>
      <c r="F43">
        <v>6</v>
      </c>
      <c r="G43">
        <v>445.79999999999995</v>
      </c>
      <c r="I43" s="6" t="s">
        <v>76</v>
      </c>
      <c r="J43" s="14">
        <v>6</v>
      </c>
      <c r="K43" s="14">
        <v>6</v>
      </c>
    </row>
    <row r="44" spans="1:11" x14ac:dyDescent="0.3">
      <c r="A44" s="6" t="s">
        <v>2520</v>
      </c>
      <c r="B44" s="14">
        <v>101</v>
      </c>
      <c r="D44" t="s">
        <v>19</v>
      </c>
      <c r="E44" t="s">
        <v>258</v>
      </c>
      <c r="F44">
        <v>9</v>
      </c>
      <c r="G44">
        <v>273.59999999999997</v>
      </c>
      <c r="I44" s="6" t="s">
        <v>69</v>
      </c>
      <c r="J44" s="14">
        <v>2</v>
      </c>
      <c r="K44" s="14">
        <v>2</v>
      </c>
    </row>
    <row r="45" spans="1:11" x14ac:dyDescent="0.3">
      <c r="D45" t="s">
        <v>19</v>
      </c>
      <c r="E45" t="s">
        <v>186</v>
      </c>
      <c r="F45">
        <v>60</v>
      </c>
      <c r="G45">
        <v>2690.4</v>
      </c>
      <c r="I45" s="6" t="s">
        <v>2520</v>
      </c>
      <c r="J45" s="14">
        <v>510</v>
      </c>
      <c r="K45" s="14">
        <v>510</v>
      </c>
    </row>
    <row r="46" spans="1:11" x14ac:dyDescent="0.3">
      <c r="D46" t="s">
        <v>19</v>
      </c>
      <c r="E46" t="s">
        <v>392</v>
      </c>
      <c r="F46">
        <v>2</v>
      </c>
      <c r="G46">
        <v>28.4</v>
      </c>
    </row>
    <row r="47" spans="1:11" x14ac:dyDescent="0.3">
      <c r="D47" t="s">
        <v>19</v>
      </c>
      <c r="E47" t="s">
        <v>670</v>
      </c>
      <c r="F47">
        <v>4</v>
      </c>
      <c r="G47">
        <v>204.8</v>
      </c>
    </row>
    <row r="48" spans="1:11" x14ac:dyDescent="0.3">
      <c r="D48" t="s">
        <v>19</v>
      </c>
      <c r="E48" t="s">
        <v>802</v>
      </c>
      <c r="F48">
        <v>31</v>
      </c>
      <c r="G48">
        <v>1607.8999999999999</v>
      </c>
    </row>
    <row r="49" spans="4:7" x14ac:dyDescent="0.3">
      <c r="D49" t="s">
        <v>19</v>
      </c>
      <c r="E49" t="s">
        <v>98</v>
      </c>
      <c r="F49">
        <v>88</v>
      </c>
      <c r="G49">
        <v>6444.9</v>
      </c>
    </row>
    <row r="50" spans="4:7" x14ac:dyDescent="0.3">
      <c r="D50" t="s">
        <v>19</v>
      </c>
      <c r="E50" t="s">
        <v>49</v>
      </c>
      <c r="F50">
        <v>25</v>
      </c>
      <c r="G50">
        <v>1809.3</v>
      </c>
    </row>
    <row r="51" spans="4:7" x14ac:dyDescent="0.3">
      <c r="D51" t="s">
        <v>19</v>
      </c>
      <c r="E51" t="s">
        <v>188</v>
      </c>
      <c r="F51">
        <v>178</v>
      </c>
      <c r="G51">
        <v>9680.399999999996</v>
      </c>
    </row>
    <row r="52" spans="4:7" x14ac:dyDescent="0.3">
      <c r="D52" t="s">
        <v>19</v>
      </c>
      <c r="E52" t="s">
        <v>52</v>
      </c>
      <c r="F52">
        <v>141</v>
      </c>
      <c r="G52">
        <v>9414.7999999999993</v>
      </c>
    </row>
    <row r="53" spans="4:7" x14ac:dyDescent="0.3">
      <c r="D53" t="s">
        <v>19</v>
      </c>
      <c r="E53" t="s">
        <v>338</v>
      </c>
      <c r="F53">
        <v>6</v>
      </c>
      <c r="G53">
        <v>206.1</v>
      </c>
    </row>
    <row r="54" spans="4:7" x14ac:dyDescent="0.3">
      <c r="D54" t="s">
        <v>19</v>
      </c>
      <c r="E54" t="s">
        <v>158</v>
      </c>
      <c r="F54">
        <v>178</v>
      </c>
      <c r="G54">
        <v>7691.3</v>
      </c>
    </row>
    <row r="55" spans="4:7" x14ac:dyDescent="0.3">
      <c r="D55" t="s">
        <v>19</v>
      </c>
      <c r="E55" t="s">
        <v>55</v>
      </c>
      <c r="F55">
        <v>699</v>
      </c>
      <c r="G55">
        <v>37784.900000000016</v>
      </c>
    </row>
    <row r="56" spans="4:7" x14ac:dyDescent="0.3">
      <c r="D56" t="s">
        <v>19</v>
      </c>
      <c r="E56" t="s">
        <v>342</v>
      </c>
      <c r="F56">
        <v>23</v>
      </c>
      <c r="G56">
        <v>1129.7</v>
      </c>
    </row>
    <row r="57" spans="4:7" x14ac:dyDescent="0.3">
      <c r="D57" t="s">
        <v>19</v>
      </c>
      <c r="E57" t="s">
        <v>59</v>
      </c>
      <c r="F57">
        <v>356</v>
      </c>
      <c r="G57">
        <v>20988.9</v>
      </c>
    </row>
    <row r="58" spans="4:7" x14ac:dyDescent="0.3">
      <c r="D58" t="s">
        <v>19</v>
      </c>
      <c r="E58" t="s">
        <v>62</v>
      </c>
      <c r="F58">
        <v>1768</v>
      </c>
      <c r="G58">
        <v>98367.099999999977</v>
      </c>
    </row>
    <row r="59" spans="4:7" x14ac:dyDescent="0.3">
      <c r="D59" t="s">
        <v>19</v>
      </c>
      <c r="E59" t="s">
        <v>103</v>
      </c>
      <c r="F59">
        <v>307</v>
      </c>
      <c r="G59">
        <v>21911.9</v>
      </c>
    </row>
    <row r="60" spans="4:7" x14ac:dyDescent="0.3">
      <c r="D60" t="s">
        <v>19</v>
      </c>
      <c r="E60" t="s">
        <v>201</v>
      </c>
      <c r="F60">
        <v>117</v>
      </c>
      <c r="G60">
        <v>5441.2</v>
      </c>
    </row>
    <row r="61" spans="4:7" x14ac:dyDescent="0.3">
      <c r="D61" t="s">
        <v>19</v>
      </c>
      <c r="E61" t="s">
        <v>429</v>
      </c>
      <c r="F61">
        <v>13</v>
      </c>
      <c r="G61">
        <v>392.8</v>
      </c>
    </row>
    <row r="62" spans="4:7" x14ac:dyDescent="0.3">
      <c r="D62" t="s">
        <v>19</v>
      </c>
      <c r="E62" t="s">
        <v>72</v>
      </c>
      <c r="F62">
        <v>364</v>
      </c>
      <c r="G62">
        <v>16172.000000000005</v>
      </c>
    </row>
    <row r="63" spans="4:7" x14ac:dyDescent="0.3">
      <c r="D63" t="s">
        <v>19</v>
      </c>
      <c r="E63" t="s">
        <v>74</v>
      </c>
      <c r="F63">
        <v>95</v>
      </c>
      <c r="G63">
        <v>4334.9999999999991</v>
      </c>
    </row>
    <row r="64" spans="4:7" x14ac:dyDescent="0.3">
      <c r="D64" t="s">
        <v>19</v>
      </c>
      <c r="E64" t="s">
        <v>77</v>
      </c>
      <c r="F64">
        <v>737</v>
      </c>
      <c r="G64">
        <v>37449.000000000007</v>
      </c>
    </row>
    <row r="65" spans="4:7" x14ac:dyDescent="0.3">
      <c r="D65" t="s">
        <v>19</v>
      </c>
      <c r="E65" t="s">
        <v>309</v>
      </c>
      <c r="F65">
        <v>39</v>
      </c>
      <c r="G65">
        <v>2447.5</v>
      </c>
    </row>
    <row r="66" spans="4:7" x14ac:dyDescent="0.3">
      <c r="D66" t="s">
        <v>19</v>
      </c>
      <c r="E66" t="s">
        <v>1116</v>
      </c>
      <c r="F66">
        <v>56</v>
      </c>
      <c r="G66">
        <v>3391.1</v>
      </c>
    </row>
    <row r="67" spans="4:7" x14ac:dyDescent="0.3">
      <c r="D67" t="s">
        <v>19</v>
      </c>
      <c r="E67" t="s">
        <v>700</v>
      </c>
      <c r="F67">
        <v>2</v>
      </c>
      <c r="G67">
        <v>30.8</v>
      </c>
    </row>
    <row r="68" spans="4:7" x14ac:dyDescent="0.3">
      <c r="D68" t="s">
        <v>19</v>
      </c>
      <c r="E68" t="s">
        <v>268</v>
      </c>
      <c r="F68">
        <v>8</v>
      </c>
      <c r="G68">
        <v>332.3</v>
      </c>
    </row>
    <row r="69" spans="4:7" x14ac:dyDescent="0.3">
      <c r="D69" t="s">
        <v>19</v>
      </c>
      <c r="E69" t="s">
        <v>377</v>
      </c>
      <c r="F69">
        <v>52</v>
      </c>
      <c r="G69">
        <v>3175.9999999999995</v>
      </c>
    </row>
    <row r="70" spans="4:7" x14ac:dyDescent="0.3">
      <c r="D70" t="s">
        <v>19</v>
      </c>
      <c r="E70" t="s">
        <v>108</v>
      </c>
      <c r="F70">
        <v>295</v>
      </c>
      <c r="G70">
        <v>20939.600000000002</v>
      </c>
    </row>
    <row r="71" spans="4:7" x14ac:dyDescent="0.3">
      <c r="D71" t="s">
        <v>19</v>
      </c>
      <c r="E71" t="s">
        <v>110</v>
      </c>
      <c r="F71">
        <v>195</v>
      </c>
      <c r="G71">
        <v>10185.899999999996</v>
      </c>
    </row>
    <row r="72" spans="4:7" x14ac:dyDescent="0.3">
      <c r="D72" t="s">
        <v>19</v>
      </c>
      <c r="E72" t="s">
        <v>292</v>
      </c>
      <c r="F72">
        <v>20</v>
      </c>
      <c r="G72">
        <v>958.7</v>
      </c>
    </row>
    <row r="73" spans="4:7" x14ac:dyDescent="0.3">
      <c r="D73" t="s">
        <v>19</v>
      </c>
      <c r="E73" t="s">
        <v>79</v>
      </c>
      <c r="F73">
        <v>6</v>
      </c>
      <c r="G73">
        <v>323</v>
      </c>
    </row>
    <row r="74" spans="4:7" x14ac:dyDescent="0.3">
      <c r="D74" t="s">
        <v>19</v>
      </c>
      <c r="E74" t="s">
        <v>608</v>
      </c>
      <c r="F74">
        <v>5</v>
      </c>
      <c r="G74">
        <v>167.70000000000002</v>
      </c>
    </row>
    <row r="75" spans="4:7" x14ac:dyDescent="0.3">
      <c r="D75" t="s">
        <v>19</v>
      </c>
      <c r="E75" t="s">
        <v>113</v>
      </c>
      <c r="F75">
        <v>94</v>
      </c>
      <c r="G75">
        <v>3978.5</v>
      </c>
    </row>
    <row r="76" spans="4:7" x14ac:dyDescent="0.3">
      <c r="D76" t="s">
        <v>19</v>
      </c>
      <c r="E76" t="s">
        <v>997</v>
      </c>
      <c r="F76">
        <v>28</v>
      </c>
      <c r="G76">
        <v>1405</v>
      </c>
    </row>
    <row r="77" spans="4:7" x14ac:dyDescent="0.3">
      <c r="D77" t="s">
        <v>19</v>
      </c>
      <c r="E77" t="s">
        <v>82</v>
      </c>
      <c r="F77">
        <v>179</v>
      </c>
      <c r="G77">
        <v>9869.0999999999985</v>
      </c>
    </row>
    <row r="78" spans="4:7" x14ac:dyDescent="0.3">
      <c r="D78" t="s">
        <v>19</v>
      </c>
      <c r="E78" t="s">
        <v>243</v>
      </c>
      <c r="F78">
        <v>15</v>
      </c>
      <c r="G78">
        <v>615.29999999999995</v>
      </c>
    </row>
    <row r="79" spans="4:7" x14ac:dyDescent="0.3">
      <c r="D79" t="s">
        <v>19</v>
      </c>
      <c r="E79" t="s">
        <v>1911</v>
      </c>
      <c r="F79">
        <v>3</v>
      </c>
      <c r="G79">
        <v>285</v>
      </c>
    </row>
    <row r="80" spans="4:7" x14ac:dyDescent="0.3">
      <c r="D80" t="s">
        <v>2520</v>
      </c>
      <c r="F80">
        <v>11997</v>
      </c>
      <c r="G80">
        <v>649019.79999999981</v>
      </c>
    </row>
  </sheetData>
  <conditionalFormatting sqref="H5">
    <cfRule type="colorScale" priority="2">
      <colorScale>
        <cfvo type="min"/>
        <cfvo type="percentile" val="50"/>
        <cfvo type="max"/>
        <color rgb="FF63BE7B"/>
        <color rgb="FFFFEB84"/>
        <color rgb="FFF8696B"/>
      </colorScale>
    </cfRule>
  </conditionalFormatting>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B8" sqref="B8"/>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2" sqref="B12"/>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Reports</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Narendra Gandi</cp:lastModifiedBy>
  <dcterms:created xsi:type="dcterms:W3CDTF">2025-06-13T02:42:26Z</dcterms:created>
  <dcterms:modified xsi:type="dcterms:W3CDTF">2026-04-29T16:09:35Z</dcterms:modified>
</cp:coreProperties>
</file>