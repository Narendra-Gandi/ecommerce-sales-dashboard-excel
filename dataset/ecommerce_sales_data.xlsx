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arendra\Desktop\5225\Data_Notes\ecommerce-sales-dashboard-excel\dataset\"/>
    </mc:Choice>
  </mc:AlternateContent>
  <xr:revisionPtr revIDLastSave="0" documentId="8_{C4DFFC25-0ECA-4B76-A04D-FE5C1D6546B3}" xr6:coauthVersionLast="47" xr6:coauthVersionMax="47" xr10:uidLastSave="{00000000-0000-0000-0000-000000000000}"/>
  <bookViews>
    <workbookView xWindow="-108" yWindow="-108" windowWidth="23256" windowHeight="12456" activeTab="4" xr2:uid="{346724B3-1C49-40AE-AA36-C77CF5D6DD09}"/>
  </bookViews>
  <sheets>
    <sheet name="Sheet1" sheetId="5" r:id="rId1"/>
    <sheet name="Sheet3" sheetId="7" r:id="rId2"/>
    <sheet name="Sheet4" sheetId="8" r:id="rId3"/>
    <sheet name="Sheet5" sheetId="9" r:id="rId4"/>
    <sheet name="Data" sheetId="1" r:id="rId5"/>
    <sheet name="Questions &amp; KPIs" sheetId="2" r:id="rId6"/>
    <sheet name="Dashboard" sheetId="3" r:id="rId7"/>
    <sheet name="Logo &amp; Colors" sheetId="4" r:id="rId8"/>
  </sheets>
  <definedNames>
    <definedName name="Slicer_Gender_Value">#N/A</definedName>
    <definedName name="Slicer_Order_Mode">#N/A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8" l="1"/>
  <c r="J4" i="8"/>
  <c r="K4" i="8"/>
  <c r="L4" i="8"/>
  <c r="H6" i="8"/>
  <c r="I6" i="8"/>
  <c r="J6" i="8"/>
  <c r="K6" i="8"/>
  <c r="L6" i="8"/>
  <c r="H7" i="8"/>
  <c r="I7" i="8"/>
  <c r="J7" i="8"/>
  <c r="K7" i="8"/>
  <c r="L7" i="8"/>
  <c r="H8" i="8"/>
  <c r="I8" i="8"/>
  <c r="J8" i="8"/>
  <c r="K8" i="8"/>
  <c r="L8" i="8"/>
  <c r="H9" i="8"/>
  <c r="I9" i="8"/>
  <c r="J9" i="8"/>
  <c r="K9" i="8"/>
  <c r="L9" i="8"/>
  <c r="I5" i="8"/>
  <c r="J5" i="8"/>
  <c r="K5" i="8"/>
  <c r="L5" i="8"/>
  <c r="H5" i="8"/>
  <c r="J4" i="5"/>
  <c r="H4" i="5"/>
  <c r="F4" i="5"/>
  <c r="G4" i="5"/>
  <c r="I4" i="5" l="1"/>
  <c r="O2" i="1" a="1"/>
  <c r="O2" i="1" s="1"/>
  <c r="N2" i="1"/>
  <c r="M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<sst xmlns="http://schemas.openxmlformats.org/spreadsheetml/2006/main" count="14904" uniqueCount="2578">
  <si>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</si>
  <si>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</si>
  <si>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</si>
  <si>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</si>
  <si>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</si>
  <si>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</si>
  <si>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</si>
  <si>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</si>
  <si>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</si>
  <si>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</si>
  <si>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</si>
  <si>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</si>
  <si>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</si>
  <si>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</si>
  <si>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</si>
  <si>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</si>
  <si>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</si>
  <si>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</si>
  <si>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</si>
  <si>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</si>
  <si>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</si>
  <si>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</si>
  <si>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</si>
  <si>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</si>
  <si>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</si>
  <si>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</si>
  <si>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</si>
  <si>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</si>
  <si>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</si>
  <si>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</si>
  <si>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</si>
  <si>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</si>
  <si>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</si>
  <si>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</si>
  <si>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</si>
  <si>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</si>
  <si>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</si>
  <si>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</si>
  <si>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</si>
  <si>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</si>
  <si>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</si>
  <si>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</si>
  <si>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</si>
  <si>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</si>
  <si>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</si>
  <si>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</si>
  <si>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</si>
  <si>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</si>
  <si>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</si>
  <si>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</si>
  <si>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</si>
  <si>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</si>
  <si>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</si>
  <si>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</si>
  <si>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</si>
  <si>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</si>
  <si>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</si>
  <si>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</si>
  <si>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</si>
  <si>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</si>
  <si>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</si>
  <si>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</si>
  <si>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</si>
  <si>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</si>
  <si>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</si>
  <si>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</si>
  <si>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</si>
  <si>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</si>
  <si>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</si>
  <si>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</si>
  <si>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</si>
  <si>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</si>
  <si>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</si>
  <si>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</si>
  <si>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</si>
  <si>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</si>
  <si>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</si>
  <si>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</si>
  <si>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</si>
  <si>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</si>
  <si>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</si>
  <si>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</si>
  <si>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</si>
  <si>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</si>
  <si>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</si>
  <si>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</si>
  <si>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</si>
  <si>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</si>
  <si>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</si>
  <si>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</si>
  <si>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</si>
  <si>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</si>
  <si>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</si>
  <si>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</si>
  <si>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</si>
  <si>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</si>
  <si>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</si>
  <si>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</si>
  <si>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</si>
  <si>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</si>
  <si>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</si>
  <si>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</si>
  <si>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</si>
  <si>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</si>
  <si>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</si>
  <si>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</si>
  <si>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</si>
  <si>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</si>
  <si>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</si>
  <si>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</si>
  <si>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</si>
  <si>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</si>
  <si>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</si>
  <si>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</si>
  <si>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</si>
  <si>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</si>
  <si>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</si>
  <si>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</si>
  <si>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</si>
  <si>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</si>
  <si>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</si>
  <si>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</si>
  <si>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</si>
  <si>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</si>
  <si>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</si>
  <si>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</si>
  <si>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</si>
  <si>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</si>
  <si>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</si>
  <si>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</si>
  <si>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</si>
  <si>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</si>
  <si>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</si>
  <si>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</si>
  <si>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</si>
  <si>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</si>
  <si>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</si>
  <si>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</si>
  <si>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</si>
  <si>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</si>
  <si>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</si>
  <si>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</si>
  <si>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</si>
  <si>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</si>
  <si>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</si>
  <si>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</si>
  <si>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</si>
  <si>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</si>
  <si>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</si>
  <si>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</si>
  <si>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</si>
  <si>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</si>
  <si>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</si>
  <si>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</si>
  <si>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</si>
  <si>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</si>
  <si>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</si>
  <si>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</si>
  <si>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</si>
  <si>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</si>
  <si>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</si>
  <si>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</si>
  <si>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</si>
  <si>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</si>
  <si>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</si>
  <si>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</si>
  <si>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</si>
  <si>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</si>
  <si>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</si>
  <si>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</si>
  <si>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</si>
  <si>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</si>
  <si>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</si>
  <si>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</si>
  <si>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</si>
  <si>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</si>
  <si>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</si>
  <si>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</si>
  <si>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</si>
  <si>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</si>
  <si>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</si>
  <si>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</si>
  <si>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</si>
  <si>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</si>
  <si>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</si>
  <si>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</si>
  <si>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</si>
  <si>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</si>
  <si>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</si>
  <si>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</si>
  <si>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</si>
  <si>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</si>
  <si>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</si>
  <si>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</si>
  <si>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</si>
  <si>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</si>
  <si>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</si>
  <si>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</si>
  <si>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</si>
  <si>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</si>
  <si>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</si>
  <si>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</si>
  <si>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</si>
  <si>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</si>
  <si>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</si>
  <si>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</si>
  <si>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</si>
  <si>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</si>
  <si>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</si>
  <si>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</si>
  <si>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</si>
  <si>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</si>
  <si>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</si>
  <si>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</si>
  <si>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</si>
  <si>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</si>
  <si>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</si>
  <si>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</si>
  <si>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</si>
  <si>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</si>
  <si>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</si>
  <si>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</si>
  <si>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</si>
  <si>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</si>
  <si>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</si>
  <si>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</si>
  <si>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</si>
  <si>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</si>
  <si>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</si>
  <si>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</si>
  <si>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</si>
  <si>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</si>
  <si>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</si>
  <si>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</si>
  <si>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</si>
  <si>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</si>
  <si>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</si>
  <si>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</si>
  <si>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</si>
  <si>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</si>
  <si>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</si>
  <si>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</si>
  <si>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</si>
  <si>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</si>
  <si>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</si>
  <si>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</si>
  <si>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</si>
  <si>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</si>
  <si>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</si>
  <si>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</si>
  <si>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</si>
  <si>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</si>
  <si>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</si>
  <si>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</si>
  <si>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</si>
  <si>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</si>
  <si>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</si>
  <si>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</si>
  <si>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</si>
  <si>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</si>
  <si>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</si>
  <si>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</si>
  <si>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</si>
  <si>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</si>
  <si>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</si>
  <si>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</si>
  <si>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</si>
  <si>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</si>
  <si>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</si>
  <si>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</si>
  <si>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</si>
  <si>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</si>
  <si>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</si>
  <si>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</si>
  <si>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</si>
  <si>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</si>
  <si>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</si>
  <si>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</si>
  <si>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</si>
  <si>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</si>
  <si>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</si>
  <si>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</si>
  <si>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</si>
  <si>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</si>
  <si>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</si>
  <si>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</si>
  <si>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</si>
  <si>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</si>
  <si>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</si>
  <si>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</si>
  <si>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</si>
  <si>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</si>
  <si>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</si>
  <si>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</si>
  <si>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</si>
  <si>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</si>
  <si>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</si>
  <si>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</si>
  <si>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</si>
  <si>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</si>
  <si>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</si>
  <si>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</si>
  <si>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</si>
  <si>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</si>
  <si>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</si>
  <si>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</si>
  <si>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</si>
  <si>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</si>
  <si>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</si>
  <si>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</si>
  <si>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</si>
  <si>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</si>
  <si>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</si>
  <si>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</si>
  <si>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</si>
  <si>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</si>
  <si>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</si>
  <si>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</si>
  <si>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</si>
  <si>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</si>
  <si>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</si>
  <si>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</si>
  <si>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</si>
  <si>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</si>
  <si>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</si>
  <si>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</si>
  <si>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</si>
  <si>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</si>
  <si>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</si>
  <si>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</si>
  <si>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</si>
  <si>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</si>
  <si>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</si>
  <si>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</si>
  <si>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</si>
  <si>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</si>
  <si>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</si>
  <si>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</si>
  <si>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</si>
  <si>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</si>
  <si>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</si>
  <si>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</si>
  <si>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</si>
  <si>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</si>
  <si>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</si>
  <si>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</si>
  <si>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</si>
  <si>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</si>
  <si>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</si>
  <si>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</si>
  <si>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</si>
  <si>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</si>
  <si>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</si>
  <si>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</si>
  <si>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</si>
  <si>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</si>
  <si>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</si>
  <si>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</si>
  <si>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</si>
  <si>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</si>
  <si>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</si>
  <si>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</si>
  <si>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</si>
  <si>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</si>
  <si>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</si>
  <si>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</si>
  <si>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</si>
  <si>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</si>
  <si>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</si>
  <si>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</si>
  <si>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</si>
  <si>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</si>
  <si>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</si>
  <si>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</si>
  <si>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</si>
  <si>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</si>
  <si>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</si>
  <si>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</si>
  <si>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</si>
  <si>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</si>
  <si>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</si>
  <si>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</si>
  <si>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</si>
  <si>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</si>
  <si>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</si>
  <si>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</si>
  <si>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</si>
  <si>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</si>
  <si>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</si>
  <si>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</si>
  <si>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</si>
  <si>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</si>
  <si>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</si>
  <si>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</si>
  <si>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</si>
  <si>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</si>
  <si>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</si>
  <si>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</si>
  <si>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</si>
  <si>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</si>
  <si>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</si>
  <si>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</si>
  <si>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</si>
  <si>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</si>
  <si>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</si>
  <si>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</si>
  <si>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</si>
  <si>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</si>
  <si>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</si>
  <si>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</si>
  <si>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</si>
  <si>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</si>
  <si>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</si>
  <si>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</si>
  <si>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</si>
  <si>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</si>
  <si>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</si>
  <si>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</si>
  <si>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</si>
  <si>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</si>
  <si>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</si>
  <si>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</si>
  <si>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</si>
  <si>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</si>
  <si>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</si>
  <si>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</si>
  <si>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</si>
  <si>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</si>
  <si>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</si>
  <si>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</si>
  <si>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</si>
  <si>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</si>
  <si>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</si>
  <si>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</si>
  <si>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</si>
  <si>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</si>
  <si>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</si>
  <si>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</si>
  <si>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</si>
  <si>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</si>
  <si>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</si>
  <si>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</si>
  <si>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</si>
  <si>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</si>
  <si>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</si>
  <si>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</si>
  <si>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</si>
  <si>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</si>
  <si>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</si>
  <si>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</si>
  <si>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</si>
  <si>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</si>
  <si>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</si>
  <si>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</si>
  <si>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</si>
  <si>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</si>
  <si>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</si>
  <si>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</si>
  <si>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</si>
  <si>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</si>
  <si>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</si>
  <si>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</si>
  <si>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</si>
  <si>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</si>
  <si>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</si>
  <si>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</si>
  <si>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</si>
  <si>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</si>
  <si>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</si>
  <si>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</si>
  <si>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</si>
  <si>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</si>
  <si>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</si>
  <si>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</si>
  <si>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</si>
  <si>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</si>
  <si>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</si>
  <si>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</si>
  <si>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</si>
  <si>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</si>
  <si>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</si>
  <si>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</si>
  <si>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</si>
  <si>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</si>
  <si>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</si>
  <si>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</si>
  <si>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</si>
  <si>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</si>
  <si>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</si>
  <si>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</si>
  <si>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</si>
  <si>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</si>
  <si>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</si>
  <si>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</si>
  <si>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</si>
  <si>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</si>
  <si>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</si>
  <si>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</si>
  <si>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</si>
  <si>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</si>
  <si>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</si>
  <si>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</si>
  <si>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</si>
  <si>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</si>
  <si>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</si>
  <si>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</si>
  <si>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</si>
  <si>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</si>
  <si>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</si>
  <si>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</si>
  <si>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</si>
  <si>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</si>
  <si>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</si>
  <si>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</si>
  <si>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</si>
  <si>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</si>
  <si>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</si>
  <si>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</si>
  <si>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</si>
  <si>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</si>
  <si>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</si>
  <si>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</si>
  <si>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</si>
  <si>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</si>
  <si>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</si>
  <si>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</si>
  <si>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</si>
  <si>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</si>
  <si>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</si>
  <si>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</si>
  <si>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</si>
  <si>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</si>
  <si>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</si>
  <si>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</si>
  <si>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</si>
  <si>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</si>
  <si>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</si>
  <si>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</si>
  <si>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</si>
  <si>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</si>
  <si>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</si>
  <si>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</si>
  <si>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</si>
  <si>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</si>
  <si>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</si>
  <si>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</si>
  <si>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</si>
  <si>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</si>
  <si>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</si>
  <si>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</si>
  <si>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</si>
  <si>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</si>
  <si>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</si>
  <si>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</si>
  <si>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</si>
  <si>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</si>
  <si>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</si>
  <si>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</si>
  <si>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</si>
  <si>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</si>
  <si>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</si>
  <si>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</si>
  <si>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</si>
  <si>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</si>
  <si>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</si>
  <si>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</si>
  <si>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</si>
  <si>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</si>
  <si>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</si>
  <si>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</si>
  <si>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</si>
  <si>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</si>
  <si>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</si>
  <si>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</si>
  <si>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</si>
  <si>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</si>
  <si>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</si>
  <si>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</si>
  <si>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</si>
  <si>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</si>
  <si>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</si>
  <si>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</si>
  <si>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</si>
  <si>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</si>
  <si>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</si>
  <si>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</si>
  <si>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</si>
  <si>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</si>
  <si>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</si>
  <si>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</si>
  <si>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</si>
  <si>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</si>
  <si>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</si>
  <si>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</si>
  <si>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</si>
  <si>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</si>
  <si>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</si>
  <si>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</si>
  <si>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</si>
  <si>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</si>
  <si>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</si>
  <si>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</si>
  <si>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</si>
  <si>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</si>
  <si>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</si>
  <si>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</si>
  <si>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</si>
  <si>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</si>
  <si>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</si>
  <si>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</si>
  <si>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</si>
  <si>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</si>
  <si>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</si>
  <si>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</si>
  <si>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</si>
  <si>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</si>
  <si>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</si>
  <si>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</si>
  <si>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</si>
  <si>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</si>
  <si>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</si>
  <si>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</si>
  <si>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</si>
  <si>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</si>
  <si>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</si>
  <si>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</si>
  <si>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</si>
  <si>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</si>
  <si>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</si>
  <si>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</si>
  <si>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</si>
  <si>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</si>
  <si>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</si>
  <si>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</si>
  <si>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</si>
  <si>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</si>
  <si>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</si>
  <si>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</si>
  <si>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</si>
  <si>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</si>
  <si>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</si>
  <si>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</si>
  <si>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</si>
  <si>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</si>
  <si>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</si>
  <si>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</si>
  <si>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</si>
  <si>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</si>
  <si>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</si>
  <si>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</si>
  <si>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</si>
  <si>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</si>
  <si>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</si>
  <si>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</si>
  <si>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</si>
  <si>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</si>
  <si>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</si>
  <si>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</si>
  <si>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</si>
  <si>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</si>
  <si>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</si>
  <si>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</si>
  <si>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</si>
  <si>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</si>
  <si>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</si>
  <si>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</si>
  <si>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</si>
  <si>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</si>
  <si>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</si>
  <si>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</si>
  <si>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</si>
  <si>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</si>
  <si>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</si>
  <si>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</si>
  <si>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</si>
  <si>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</si>
  <si>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</si>
  <si>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</si>
  <si>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</si>
  <si>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</si>
  <si>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</si>
  <si>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</si>
  <si>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</si>
  <si>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</si>
  <si>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</si>
  <si>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</si>
  <si>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</si>
  <si>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</si>
  <si>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</si>
  <si>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</si>
  <si>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</si>
  <si>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</si>
  <si>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</si>
  <si>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</si>
  <si>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</si>
  <si>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</si>
  <si>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</si>
  <si>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</si>
  <si>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</si>
  <si>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</si>
  <si>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</si>
  <si>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</si>
  <si>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</si>
  <si>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</si>
  <si>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</si>
  <si>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</si>
  <si>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</si>
  <si>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</si>
  <si>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</si>
  <si>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</si>
  <si>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</si>
  <si>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</si>
  <si>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</si>
  <si>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</si>
  <si>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</si>
  <si>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</si>
  <si>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</si>
  <si>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</si>
  <si>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</si>
  <si>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</si>
  <si>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</si>
  <si>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</si>
  <si>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</si>
  <si>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</si>
  <si>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</si>
  <si>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</si>
  <si>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</si>
  <si>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</si>
  <si>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</si>
  <si>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</si>
  <si>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</si>
  <si>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</si>
  <si>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</si>
  <si>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</si>
  <si>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</si>
  <si>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</si>
  <si>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</si>
  <si>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</si>
  <si>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</si>
  <si>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</si>
  <si>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</si>
  <si>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</si>
  <si>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</si>
  <si>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</si>
  <si>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</si>
  <si>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</si>
  <si>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</si>
  <si>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</si>
  <si>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</si>
  <si>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</si>
  <si>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</si>
  <si>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</si>
  <si>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</si>
  <si>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</si>
  <si>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</si>
  <si>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</si>
  <si>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</si>
  <si>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</si>
  <si>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</si>
  <si>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</si>
  <si>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</si>
  <si>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</si>
  <si>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</si>
  <si>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</si>
  <si>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</si>
  <si>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</si>
  <si>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</si>
  <si>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</si>
  <si>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</si>
  <si>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</si>
  <si>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</si>
  <si>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</si>
  <si>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</si>
  <si>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</si>
  <si>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</si>
  <si>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</si>
  <si>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</si>
  <si>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</si>
  <si>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</si>
  <si>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</si>
  <si>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</si>
  <si>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</si>
  <si>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</si>
  <si>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</si>
  <si>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</si>
  <si>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</si>
  <si>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</si>
  <si>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</si>
  <si>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</si>
  <si>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</si>
  <si>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</si>
  <si>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</si>
  <si>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</si>
  <si>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</si>
  <si>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</si>
  <si>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</si>
  <si>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</si>
  <si>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</si>
  <si>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</si>
  <si>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</si>
  <si>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</si>
  <si>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</si>
  <si>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</si>
  <si>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</si>
  <si>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</si>
  <si>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</si>
  <si>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</si>
  <si>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</si>
  <si>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</si>
  <si>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</si>
  <si>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</si>
  <si>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</si>
  <si>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</si>
  <si>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</si>
  <si>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</si>
  <si>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</si>
  <si>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</si>
  <si>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</si>
  <si>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</si>
  <si>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</si>
  <si>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</si>
  <si>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</si>
  <si>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</si>
  <si>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</si>
  <si>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</si>
  <si>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</si>
  <si>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</si>
  <si>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</si>
  <si>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</si>
  <si>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</si>
  <si>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</si>
  <si>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</si>
  <si>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</si>
  <si>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</si>
  <si>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</si>
  <si>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</si>
  <si>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</si>
  <si>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</si>
  <si>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</si>
  <si>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</si>
  <si>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</si>
  <si>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</si>
  <si>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</si>
  <si>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</si>
  <si>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</si>
  <si>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</si>
  <si>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</si>
  <si>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</si>
  <si>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</si>
  <si>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</si>
  <si>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</si>
  <si>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</si>
  <si>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</si>
  <si>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</si>
  <si>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</si>
  <si>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</si>
  <si>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</si>
  <si>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</si>
  <si>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</si>
  <si>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</si>
  <si>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</si>
  <si>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</si>
  <si>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</si>
  <si>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</si>
  <si>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</si>
  <si>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</si>
  <si>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</si>
  <si>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</si>
  <si>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</si>
  <si>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</si>
  <si>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</si>
  <si>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</si>
  <si>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</si>
  <si>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</si>
  <si>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</si>
  <si>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</si>
  <si>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</si>
  <si>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</si>
  <si>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</si>
  <si>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</si>
  <si>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</si>
  <si>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</si>
  <si>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</si>
  <si>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</si>
  <si>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</si>
  <si>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</si>
  <si>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</si>
  <si>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</si>
  <si>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</si>
  <si>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</si>
  <si>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</si>
  <si>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</si>
  <si>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</si>
  <si>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</si>
  <si>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</si>
  <si>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</si>
  <si>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</si>
  <si>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</si>
  <si>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</si>
  <si>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</si>
  <si>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</si>
  <si>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</si>
  <si>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</si>
  <si>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</si>
  <si>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</si>
  <si>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</si>
  <si>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</si>
  <si>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</si>
  <si>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</si>
  <si>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</si>
  <si>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</si>
  <si>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</si>
  <si>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</si>
  <si>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</si>
  <si>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</si>
  <si>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</si>
  <si>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</si>
  <si>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</si>
  <si>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</si>
  <si>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</si>
  <si>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</si>
  <si>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</si>
  <si>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</si>
  <si>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</si>
  <si>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</si>
  <si>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</si>
  <si>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</si>
  <si>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</si>
  <si>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</si>
  <si>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</si>
  <si>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</si>
  <si>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</si>
  <si>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</si>
  <si>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</si>
  <si>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</si>
  <si>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</si>
  <si>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</si>
  <si>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</si>
  <si>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</si>
  <si>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</si>
  <si>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</si>
  <si>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</si>
  <si>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</si>
  <si>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</si>
  <si>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</si>
  <si>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</si>
  <si>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</si>
  <si>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</si>
  <si>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</si>
  <si>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</si>
  <si>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</si>
  <si>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</si>
  <si>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</si>
  <si>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</si>
  <si>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</si>
  <si>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</si>
  <si>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</si>
  <si>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</si>
  <si>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</si>
  <si>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</si>
  <si>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</si>
  <si>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</si>
  <si>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</si>
  <si>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</si>
  <si>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</si>
  <si>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</si>
  <si>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</si>
  <si>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</si>
  <si>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</si>
  <si>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</si>
  <si>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</si>
  <si>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</si>
  <si>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</si>
  <si>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</si>
  <si>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</si>
  <si>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</si>
  <si>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</si>
  <si>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</si>
  <si>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</si>
  <si>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</si>
  <si>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</si>
  <si>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</si>
  <si>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</si>
  <si>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</si>
  <si>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</si>
  <si>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</si>
  <si>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</si>
  <si>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</si>
  <si>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</si>
  <si>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</si>
  <si>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</si>
  <si>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</si>
  <si>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</si>
  <si>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</si>
  <si>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</si>
  <si>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</si>
  <si>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</si>
  <si>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</si>
  <si>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</si>
  <si>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</si>
  <si>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</si>
  <si>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</si>
  <si>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</si>
  <si>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</si>
  <si>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</si>
  <si>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</si>
  <si>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</si>
  <si>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</si>
  <si>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</si>
  <si>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</si>
  <si>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</si>
  <si>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</si>
  <si>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</si>
  <si>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</si>
  <si>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</si>
  <si>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</si>
  <si>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</si>
  <si>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</si>
  <si>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</si>
  <si>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</si>
  <si>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</si>
  <si>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</si>
  <si>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</si>
  <si>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</si>
  <si>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</si>
  <si>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</si>
  <si>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</si>
  <si>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</si>
  <si>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</si>
  <si>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</si>
  <si>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</si>
  <si>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</si>
  <si>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</si>
  <si>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</si>
  <si>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</si>
  <si>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</si>
  <si>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</si>
  <si>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</si>
  <si>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</si>
  <si>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</si>
  <si>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</si>
  <si>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</si>
  <si>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</si>
  <si>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</si>
  <si>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</si>
  <si>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</si>
  <si>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</si>
  <si>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</si>
  <si>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</si>
  <si>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</si>
  <si>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</si>
  <si>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</si>
  <si>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</si>
  <si>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</si>
  <si>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</si>
  <si>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</si>
  <si>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</si>
  <si>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</si>
  <si>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</si>
  <si>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</si>
  <si>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</si>
  <si>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</si>
  <si>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</si>
  <si>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</si>
  <si>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</si>
  <si>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</si>
  <si>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</si>
  <si>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</si>
  <si>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</si>
  <si>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</si>
  <si>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</si>
  <si>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</si>
  <si>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</si>
  <si>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</si>
  <si>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</si>
  <si>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</si>
  <si>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</si>
  <si>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</si>
  <si>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</si>
  <si>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</si>
  <si>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</si>
  <si>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</si>
  <si>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</si>
  <si>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</si>
  <si>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</si>
  <si>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</si>
  <si>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</si>
  <si>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</si>
  <si>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</si>
  <si>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</si>
  <si>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</si>
  <si>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</si>
  <si>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</si>
  <si>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</si>
  <si>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</si>
  <si>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</si>
  <si>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</si>
  <si>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</si>
  <si>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</si>
  <si>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</si>
  <si>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</si>
  <si>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</si>
  <si>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</si>
  <si>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</si>
  <si>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</si>
  <si>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</si>
  <si>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</si>
  <si>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</si>
  <si>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</si>
  <si>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</si>
  <si>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</si>
  <si>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</si>
  <si>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</si>
  <si>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</si>
  <si>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</si>
  <si>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</si>
  <si>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</si>
  <si>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</si>
  <si>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</si>
  <si>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</si>
  <si>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</si>
  <si>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</si>
  <si>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</si>
  <si>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</si>
  <si>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</si>
  <si>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</si>
  <si>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</si>
  <si>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</si>
  <si>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</si>
  <si>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</si>
  <si>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</si>
  <si>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</si>
  <si>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</si>
  <si>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</si>
  <si>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</si>
  <si>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</si>
  <si>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</si>
  <si>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</si>
  <si>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</si>
  <si>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</si>
  <si>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</si>
  <si>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</si>
  <si>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</si>
  <si>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</si>
  <si>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</si>
  <si>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</si>
  <si>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</si>
  <si>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</si>
  <si>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</si>
  <si>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</si>
  <si>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</si>
  <si>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</si>
  <si>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</si>
  <si>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</si>
  <si>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</si>
  <si>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</si>
  <si>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</si>
  <si>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</si>
  <si>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</si>
  <si>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</si>
  <si>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</si>
  <si>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</si>
  <si>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</si>
  <si>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</si>
  <si>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</si>
  <si>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</si>
  <si>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</si>
  <si>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</si>
  <si>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</si>
  <si>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</si>
  <si>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</si>
  <si>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</si>
  <si>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</si>
  <si>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</si>
  <si>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</si>
  <si>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</si>
  <si>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</si>
  <si>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</si>
  <si>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</si>
  <si>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</si>
  <si>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</si>
  <si>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</si>
  <si>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</si>
  <si>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</si>
  <si>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</si>
  <si>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</si>
  <si>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</si>
  <si>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</si>
  <si>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</si>
  <si>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</si>
  <si>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</si>
  <si>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</si>
  <si>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</si>
  <si>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</si>
  <si>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</si>
  <si>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</si>
  <si>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</si>
  <si>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</si>
  <si>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</si>
  <si>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</si>
  <si>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</si>
  <si>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</si>
  <si>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</si>
  <si>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</si>
  <si>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</si>
  <si>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</si>
  <si>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</si>
  <si>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</si>
  <si>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</si>
  <si>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</si>
  <si>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</si>
  <si>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</si>
  <si>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</si>
  <si>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</si>
  <si>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</si>
  <si>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</si>
  <si>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</si>
  <si>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</si>
  <si>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</si>
  <si>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</si>
  <si>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</si>
  <si>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</si>
  <si>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</si>
  <si>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</si>
  <si>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</si>
  <si>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</si>
  <si>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</si>
  <si>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</si>
  <si>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</si>
  <si>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</si>
  <si>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</si>
  <si>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</si>
  <si>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</si>
  <si>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</si>
  <si>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</si>
  <si>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</si>
  <si>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</si>
  <si>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</si>
  <si>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</si>
  <si>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</si>
  <si>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</si>
  <si>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</si>
  <si>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</si>
  <si>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</si>
  <si>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</si>
  <si>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</si>
  <si>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</si>
  <si>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</si>
  <si>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</si>
  <si>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</si>
  <si>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</si>
  <si>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</si>
  <si>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</si>
  <si>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</si>
  <si>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</si>
  <si>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</si>
  <si>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</si>
  <si>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</si>
  <si>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</si>
  <si>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</si>
  <si>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</si>
  <si>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</si>
  <si>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</si>
  <si>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</si>
  <si>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</si>
  <si>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</si>
  <si>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</si>
  <si>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</si>
  <si>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</si>
  <si>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</si>
  <si>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</si>
  <si>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</si>
  <si>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</si>
  <si>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</si>
  <si>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</si>
  <si>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</si>
  <si>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</si>
  <si>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</si>
  <si>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</si>
  <si>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</si>
  <si>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</si>
  <si>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</si>
  <si>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</si>
  <si>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</si>
  <si>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</si>
  <si>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</si>
  <si>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</si>
  <si>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</si>
  <si>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</si>
  <si>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</si>
  <si>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</si>
  <si>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</si>
  <si>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</si>
  <si>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</si>
  <si>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</si>
  <si>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</si>
  <si>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</si>
  <si>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</si>
  <si>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</si>
  <si>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</si>
  <si>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</si>
  <si>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</si>
  <si>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</si>
  <si>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</si>
  <si>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</si>
  <si>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</si>
  <si>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</si>
  <si>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</si>
  <si>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</si>
  <si>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</si>
  <si>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</si>
  <si>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</si>
  <si>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</si>
  <si>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</si>
  <si>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</si>
  <si>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</si>
  <si>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</si>
  <si>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</si>
  <si>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</si>
  <si>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</si>
  <si>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</si>
  <si>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</si>
  <si>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</si>
  <si>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</si>
  <si>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</si>
  <si>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</si>
  <si>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</si>
  <si>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</si>
  <si>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</si>
  <si>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</si>
  <si>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</si>
  <si>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</si>
  <si>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</si>
  <si>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</si>
  <si>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</si>
  <si>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</si>
  <si>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</si>
  <si>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</si>
  <si>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</si>
  <si>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</si>
  <si>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</si>
  <si>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</si>
  <si>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</si>
  <si>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</si>
  <si>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</si>
  <si>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</si>
  <si>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</si>
  <si>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</si>
  <si>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</si>
  <si>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</si>
  <si>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</si>
  <si>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</si>
  <si>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</si>
  <si>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</si>
  <si>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</si>
  <si>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</si>
  <si>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</si>
  <si>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</si>
  <si>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</si>
  <si>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</si>
  <si>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</si>
  <si>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</si>
  <si>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</si>
  <si>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</si>
  <si>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</si>
  <si>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</si>
  <si>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</si>
  <si>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</si>
  <si>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</si>
  <si>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</si>
  <si>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</si>
  <si>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</si>
  <si>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</si>
  <si>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</si>
  <si>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</si>
  <si>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</si>
  <si>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</si>
  <si>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</si>
  <si>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</si>
  <si>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</si>
  <si>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</si>
  <si>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</si>
  <si>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</si>
  <si>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</si>
  <si>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</si>
  <si>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</si>
  <si>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</si>
  <si>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</si>
  <si>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</si>
  <si>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</si>
  <si>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</si>
  <si>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</si>
  <si>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</si>
  <si>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</si>
  <si>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</si>
  <si>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</si>
  <si>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</si>
  <si>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</si>
  <si>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</si>
  <si>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</si>
  <si>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</si>
  <si>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</si>
  <si>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</si>
  <si>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</si>
  <si>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</si>
  <si>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</si>
  <si>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</si>
  <si>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</si>
  <si>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</si>
  <si>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</si>
  <si>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</si>
  <si>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</si>
  <si>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</si>
  <si>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</si>
  <si>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</si>
  <si>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</si>
  <si>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</si>
  <si>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</si>
  <si>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</si>
  <si>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</si>
  <si>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</si>
  <si>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</si>
  <si>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</si>
  <si>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</si>
  <si>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</si>
  <si>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</si>
  <si>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</si>
  <si>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</si>
  <si>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</si>
  <si>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</si>
  <si>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</si>
  <si>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</si>
  <si>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</si>
  <si>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</si>
  <si>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</si>
  <si>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</si>
  <si>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</si>
  <si>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</si>
  <si>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</si>
  <si>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</si>
  <si>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</si>
  <si>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</si>
  <si>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</si>
  <si>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</si>
  <si>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</si>
  <si>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</si>
  <si>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</si>
  <si>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</si>
  <si>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</si>
  <si>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</si>
  <si>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</si>
  <si>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</si>
  <si>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</si>
  <si>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</si>
  <si>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</si>
  <si>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</si>
  <si>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</si>
  <si>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</si>
  <si>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</si>
  <si>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</si>
  <si>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</si>
  <si>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</si>
  <si>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</si>
  <si>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</si>
  <si>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</si>
  <si>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</si>
  <si>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</si>
  <si>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</si>
  <si>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</si>
  <si>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</si>
  <si>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</si>
  <si>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</si>
  <si>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</si>
  <si>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</si>
  <si>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</si>
  <si>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</si>
  <si>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</si>
  <si>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</si>
  <si>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</si>
  <si>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</si>
  <si>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</si>
  <si>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</si>
  <si>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</si>
  <si>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</si>
  <si>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</si>
  <si>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</si>
  <si>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</si>
  <si>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</si>
  <si>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</si>
  <si>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</si>
  <si>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</si>
  <si>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</si>
  <si>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</si>
  <si>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</si>
  <si>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</si>
  <si>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</si>
  <si>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</si>
  <si>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</si>
  <si>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</si>
  <si>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</si>
  <si>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</si>
  <si>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</si>
  <si>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</si>
  <si>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</si>
  <si>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</si>
  <si>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</si>
  <si>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</si>
  <si>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</si>
  <si>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</si>
  <si>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</si>
  <si>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</si>
  <si>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</si>
  <si>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</si>
  <si>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</si>
  <si>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</si>
  <si>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</si>
  <si>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</si>
  <si>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</si>
  <si>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</si>
  <si>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</si>
  <si>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</si>
  <si>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</si>
  <si>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</si>
  <si>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</si>
  <si>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</si>
  <si>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</si>
  <si>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</si>
  <si>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</si>
  <si>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</si>
  <si>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</si>
  <si>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</si>
  <si>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</si>
  <si>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</si>
  <si>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</si>
  <si>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</si>
  <si>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</si>
  <si>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</si>
  <si>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</si>
  <si>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</si>
  <si>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</si>
  <si>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</si>
  <si>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</si>
  <si>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</si>
  <si>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</si>
  <si>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</si>
  <si>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</si>
  <si>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</si>
  <si>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</si>
  <si>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</si>
  <si>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</si>
  <si>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</si>
  <si>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</si>
  <si>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</si>
  <si>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</si>
  <si>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</si>
  <si>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</si>
  <si>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</si>
  <si>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</si>
  <si>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</si>
  <si>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</si>
  <si>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</si>
  <si>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</si>
  <si>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</si>
  <si>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</si>
  <si>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</si>
  <si>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</si>
  <si>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</si>
  <si>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</si>
  <si>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</si>
  <si>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</si>
  <si>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</si>
  <si>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</si>
  <si>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</si>
  <si>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</si>
  <si>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</si>
  <si>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</si>
  <si>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</si>
  <si>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</si>
  <si>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</si>
  <si>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</si>
  <si>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</si>
  <si>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</si>
  <si>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</si>
  <si>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</si>
  <si>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</si>
  <si>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</si>
  <si>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</si>
  <si>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</si>
  <si>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</si>
  <si>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</si>
  <si>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</si>
  <si>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</si>
  <si>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</si>
  <si>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</si>
  <si>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</si>
  <si>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</si>
  <si>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</si>
  <si>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</si>
  <si>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</si>
  <si>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</si>
  <si>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</si>
  <si>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</si>
  <si>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</si>
  <si>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</si>
  <si>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</si>
  <si>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</si>
  <si>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</si>
  <si>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</si>
  <si>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</si>
  <si>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</si>
  <si>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</si>
  <si>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</si>
  <si>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</si>
  <si>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</si>
  <si>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</si>
  <si>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</si>
  <si>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</si>
  <si>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</si>
  <si>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</si>
  <si>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</si>
  <si>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</si>
  <si>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</si>
  <si>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</si>
  <si>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</si>
  <si>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</si>
  <si>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</si>
  <si>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</si>
  <si>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</si>
  <si>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</si>
  <si>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</si>
  <si>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</si>
  <si>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</si>
  <si>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</si>
  <si>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</si>
  <si>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</si>
  <si>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</si>
  <si>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</si>
  <si>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</si>
  <si>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</si>
  <si>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</si>
  <si>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</si>
  <si>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</si>
  <si>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</si>
  <si>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</si>
  <si>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</si>
  <si>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</si>
  <si>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</si>
  <si>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</si>
  <si>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</si>
  <si>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</si>
  <si>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</si>
  <si>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</si>
  <si>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</si>
  <si>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</si>
  <si>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</si>
  <si>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</si>
  <si>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</si>
  <si>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</si>
  <si>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</si>
  <si>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</si>
  <si>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</si>
  <si>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</si>
  <si>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</si>
  <si>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</si>
  <si>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</si>
  <si>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</si>
  <si>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</si>
  <si>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</si>
  <si>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</si>
  <si>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</si>
  <si>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</si>
  <si>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</si>
  <si>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</si>
  <si>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</si>
  <si>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</si>
  <si>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</si>
  <si>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</si>
  <si>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</si>
  <si>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</si>
  <si>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</si>
  <si>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</si>
  <si>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</si>
  <si>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</si>
  <si>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</si>
  <si>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</si>
  <si>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</si>
  <si>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</si>
  <si>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</si>
  <si>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</si>
  <si>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</si>
  <si>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</si>
  <si>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</si>
  <si>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</si>
  <si>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</si>
  <si>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</si>
  <si>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</si>
  <si>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</si>
  <si>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</si>
  <si>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</si>
  <si>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</si>
  <si>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</si>
  <si>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</si>
  <si>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</si>
  <si>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</si>
  <si>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</si>
  <si>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</si>
  <si>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</si>
  <si>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</si>
  <si>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</si>
  <si>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</si>
  <si>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</si>
  <si>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</si>
  <si>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</si>
  <si>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</si>
  <si>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</si>
  <si>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</si>
  <si>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</si>
  <si>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</si>
  <si>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</si>
  <si>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</si>
  <si>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</si>
  <si>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</si>
  <si>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</si>
  <si>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</si>
  <si>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</si>
  <si>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</si>
  <si>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</si>
  <si>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</si>
  <si>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</si>
  <si>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</si>
  <si>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</si>
  <si>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</si>
  <si>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</si>
  <si>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</si>
  <si>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</si>
  <si>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</si>
  <si>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</si>
  <si>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</si>
  <si>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</si>
  <si>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</si>
  <si>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</si>
  <si>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</si>
  <si>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</si>
  <si>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</si>
  <si>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</si>
  <si>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</si>
  <si>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</si>
  <si>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</si>
  <si>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</si>
  <si>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</si>
  <si>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</si>
  <si>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</si>
  <si>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</si>
  <si>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</si>
  <si>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</si>
  <si>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</si>
  <si>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</si>
  <si>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</si>
  <si>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</si>
  <si>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</si>
  <si>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</si>
  <si>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</si>
  <si>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</si>
  <si>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</si>
  <si>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</si>
  <si>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</si>
  <si>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</si>
  <si>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</si>
  <si>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</si>
  <si>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</si>
  <si>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</si>
  <si>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</si>
  <si>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</si>
  <si>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</si>
  <si>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</si>
  <si>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</si>
  <si>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</si>
  <si>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</si>
  <si>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</si>
  <si>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</si>
  <si>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</si>
  <si>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</si>
  <si>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</si>
  <si>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</si>
  <si>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</si>
  <si>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</si>
  <si>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</si>
  <si>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</si>
  <si>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</si>
  <si>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</si>
  <si>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</si>
  <si>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</si>
  <si>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</si>
  <si>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</si>
  <si>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</si>
  <si>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</si>
  <si>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</si>
  <si>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</si>
  <si>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</si>
  <si>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</si>
  <si>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</si>
  <si>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</si>
  <si>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</si>
  <si>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</si>
  <si>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</si>
  <si>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</si>
  <si>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</si>
  <si>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</si>
  <si>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</si>
  <si>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</si>
  <si>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</si>
  <si>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</si>
  <si>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</si>
  <si>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</si>
  <si>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</si>
  <si>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</si>
  <si>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</si>
  <si>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</si>
  <si>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</si>
  <si>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</si>
  <si>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</si>
  <si>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</si>
  <si>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</si>
  <si>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</si>
  <si>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</si>
  <si>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</si>
  <si>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</si>
  <si>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</si>
  <si>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</si>
  <si>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</si>
  <si>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</si>
  <si>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</si>
  <si>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</si>
  <si>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</si>
  <si>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</si>
  <si>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</si>
  <si>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</si>
  <si>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</si>
  <si>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</si>
  <si>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</si>
  <si>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</si>
  <si>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</si>
  <si>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</si>
  <si>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</si>
  <si>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</si>
  <si>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</si>
  <si>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</si>
  <si>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</si>
  <si>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</si>
  <si>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</si>
  <si>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</si>
  <si>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</si>
  <si>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</si>
  <si>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</si>
  <si>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</si>
  <si>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</si>
  <si>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</si>
  <si>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</si>
  <si>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</si>
  <si>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</si>
  <si>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</si>
  <si>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</si>
  <si>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</si>
  <si>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</si>
  <si>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</si>
  <si>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</si>
  <si>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</si>
  <si>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</si>
  <si>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</si>
  <si>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</si>
  <si>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</si>
  <si>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</si>
  <si>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</si>
  <si>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</si>
  <si>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</si>
  <si>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</si>
  <si>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</si>
  <si>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</si>
  <si>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</si>
  <si>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</si>
  <si>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</si>
  <si>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</si>
  <si>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</si>
  <si>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</si>
  <si>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</si>
  <si>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</si>
  <si>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</si>
  <si>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</si>
  <si>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</si>
  <si>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</si>
  <si>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</si>
  <si>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</si>
  <si>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</si>
  <si>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</si>
  <si>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</si>
  <si>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</si>
  <si>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</si>
  <si>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</si>
  <si>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</si>
  <si>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</si>
  <si>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</si>
  <si>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</si>
  <si>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</si>
  <si>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</si>
  <si>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</si>
  <si>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</si>
  <si>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</si>
  <si>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</si>
  <si>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</si>
  <si>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</si>
  <si>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</si>
  <si>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</si>
  <si>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</si>
  <si>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</si>
  <si>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</si>
  <si>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</si>
  <si>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</si>
  <si>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</si>
  <si>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</si>
  <si>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</si>
  <si>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</si>
  <si>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</si>
  <si>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</si>
  <si>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</si>
  <si>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</si>
  <si>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</si>
  <si>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</si>
  <si>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</si>
  <si>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</si>
  <si>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</si>
  <si>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</si>
  <si>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</si>
  <si>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</si>
  <si>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</si>
  <si>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</si>
  <si>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</si>
  <si>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</si>
  <si>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</si>
  <si>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</si>
  <si>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</si>
  <si>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</si>
  <si>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</si>
  <si>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</si>
  <si>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</si>
  <si>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</si>
  <si>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</si>
  <si>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</si>
  <si>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</si>
  <si>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</si>
  <si>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</si>
  <si>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</si>
  <si>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</si>
  <si>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</si>
  <si>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</si>
  <si>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</si>
  <si>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</si>
  <si>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</si>
  <si>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</si>
  <si>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</si>
  <si>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</si>
  <si>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</si>
  <si>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</si>
  <si>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</si>
  <si>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</si>
  <si>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</si>
  <si>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</si>
  <si>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</si>
  <si>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</si>
  <si>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</si>
  <si>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</si>
  <si>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</si>
  <si>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</si>
  <si>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</si>
  <si>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</si>
  <si>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</si>
  <si>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</si>
  <si>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</si>
  <si>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</si>
  <si>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</si>
  <si>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</si>
  <si>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</si>
  <si>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</si>
  <si>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</si>
  <si>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</si>
  <si>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</si>
  <si>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</si>
  <si>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</si>
  <si>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</si>
  <si>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</si>
  <si>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</si>
  <si>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</si>
  <si>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</si>
  <si>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</si>
  <si>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</si>
  <si>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</si>
  <si>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</si>
  <si>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</si>
  <si>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</si>
  <si>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</si>
  <si>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</si>
  <si>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</si>
  <si>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</si>
  <si>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</si>
  <si>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</si>
  <si>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</si>
  <si>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</si>
  <si>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</si>
  <si>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</si>
  <si>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</si>
  <si>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</si>
  <si>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</si>
  <si>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</si>
  <si>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</si>
  <si>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</si>
  <si>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</si>
  <si>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</si>
  <si>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</si>
  <si>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</si>
  <si>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</si>
  <si>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</si>
  <si>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</si>
  <si>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</si>
  <si>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</si>
  <si>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</si>
  <si>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</si>
  <si>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</si>
  <si>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</si>
  <si>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</si>
  <si>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</si>
  <si>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</si>
  <si>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</si>
  <si>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</si>
  <si>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</si>
  <si>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</si>
  <si>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</si>
  <si>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</si>
  <si>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</si>
  <si>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</si>
  <si>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</si>
  <si>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</si>
  <si>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</si>
  <si>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</si>
  <si>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</si>
  <si>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</si>
  <si>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</si>
  <si>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</si>
  <si>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</si>
  <si>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</si>
  <si>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</si>
  <si>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</si>
  <si>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</si>
  <si>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</si>
  <si>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</si>
  <si>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</si>
  <si>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</si>
  <si>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</si>
  <si>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</si>
  <si>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</si>
  <si>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</si>
  <si>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</si>
  <si>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</si>
  <si>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</si>
  <si>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</si>
  <si>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</si>
  <si>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</si>
  <si>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</si>
  <si>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</si>
  <si>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</si>
  <si>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</si>
  <si>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</si>
  <si>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</si>
  <si>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</si>
  <si>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</si>
  <si>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</si>
  <si>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</si>
  <si>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</si>
  <si>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</si>
  <si>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</si>
  <si>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</si>
  <si>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</si>
  <si>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</si>
  <si>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</si>
  <si>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</si>
  <si>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</si>
  <si>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</si>
  <si>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</si>
  <si>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</si>
  <si>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</si>
  <si>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</si>
  <si>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</si>
  <si>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</si>
  <si>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</si>
  <si>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</si>
  <si>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</si>
  <si>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</si>
  <si>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</si>
  <si>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</si>
  <si>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</si>
  <si>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</si>
  <si>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</si>
  <si>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</si>
  <si>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</si>
  <si>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</si>
  <si>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</si>
  <si>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</si>
  <si>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</si>
  <si>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</si>
  <si>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</si>
  <si>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</si>
  <si>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</si>
  <si>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</si>
  <si>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</si>
  <si>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</si>
  <si>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</si>
  <si>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</si>
  <si>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</si>
  <si>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</si>
  <si>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</si>
  <si>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</si>
  <si>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</si>
  <si>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</si>
  <si>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</si>
  <si>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</si>
  <si>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</si>
  <si>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</si>
  <si>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</si>
  <si>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</si>
  <si>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</si>
  <si>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</si>
  <si>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</si>
  <si>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</si>
  <si>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</si>
  <si>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</si>
  <si>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</si>
  <si>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</si>
  <si>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</si>
  <si>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</si>
  <si>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</si>
  <si>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</si>
  <si>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</si>
  <si>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</si>
  <si>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</si>
  <si>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</si>
  <si>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</si>
  <si>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</si>
  <si>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</si>
  <si>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</si>
  <si>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</si>
  <si>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</si>
  <si>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</si>
  <si>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</si>
  <si>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</si>
  <si>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</si>
  <si>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</si>
  <si>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</si>
  <si>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</si>
  <si>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</si>
  <si>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</si>
  <si>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</si>
  <si>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</si>
  <si>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</si>
  <si>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</si>
  <si>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</si>
  <si>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</si>
  <si>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</si>
  <si>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</si>
  <si>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</si>
  <si>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</si>
  <si>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</si>
  <si>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</si>
  <si>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</si>
  <si>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</si>
  <si>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</si>
  <si>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</si>
  <si>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</si>
  <si>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</si>
  <si>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</si>
  <si>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</si>
  <si>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</si>
  <si>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</si>
  <si>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</si>
  <si>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</si>
  <si>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</si>
  <si>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</si>
  <si>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</si>
  <si>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</si>
  <si>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</si>
  <si>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</si>
  <si>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</si>
  <si>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</si>
  <si>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</si>
  <si>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</si>
  <si>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</si>
  <si>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</si>
  <si>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</si>
  <si>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</si>
  <si>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</si>
  <si>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</si>
  <si>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</si>
  <si>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</si>
  <si>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</si>
  <si>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</si>
  <si>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</si>
  <si>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</si>
  <si>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</si>
  <si>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</si>
  <si>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</si>
  <si>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</si>
  <si>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</si>
  <si>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</si>
  <si>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</si>
  <si>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</si>
  <si>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</si>
  <si>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</si>
  <si>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</si>
  <si>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</si>
  <si>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</si>
  <si>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</si>
  <si>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</si>
  <si>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</si>
  <si>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</si>
  <si>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</si>
  <si>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</si>
  <si>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</si>
  <si>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</si>
  <si>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</si>
  <si>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</si>
  <si>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</si>
  <si>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</si>
  <si>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</si>
  <si>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</si>
  <si>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</si>
  <si>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</si>
  <si>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</si>
  <si>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</si>
  <si>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</si>
  <si>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</si>
  <si>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</si>
  <si>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</si>
  <si>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</si>
  <si>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</si>
  <si>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</si>
  <si>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</si>
  <si>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</si>
  <si>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</si>
  <si>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</si>
  <si>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</si>
  <si>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</si>
  <si>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</si>
  <si>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</si>
  <si>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</si>
  <si>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</si>
  <si>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</si>
  <si>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</si>
  <si>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</si>
  <si>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</si>
  <si>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</si>
  <si>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</si>
  <si>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</si>
  <si>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</si>
  <si>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</si>
  <si>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</si>
  <si>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</si>
  <si>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</si>
  <si>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</si>
  <si>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</si>
  <si>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</si>
  <si>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</si>
  <si>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</si>
  <si>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</si>
  <si>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</si>
  <si>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</si>
  <si>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</si>
  <si>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</si>
  <si>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</si>
  <si>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</si>
  <si>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</si>
  <si>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</si>
  <si>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</si>
  <si>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</si>
  <si>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</si>
  <si>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</si>
  <si>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</si>
  <si>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</si>
  <si>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</si>
  <si>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</si>
  <si>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</si>
  <si>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</si>
  <si>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</si>
  <si>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</si>
  <si>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</si>
  <si>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</si>
  <si>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</si>
  <si>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</si>
  <si>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</si>
  <si>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</si>
  <si>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</si>
  <si>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</si>
  <si>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</si>
  <si>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</si>
  <si>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</si>
  <si>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</si>
  <si>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</si>
  <si>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</si>
  <si>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</si>
  <si>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</si>
  <si>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</si>
  <si>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</si>
  <si>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</si>
  <si>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</si>
  <si>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</si>
  <si>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</si>
  <si>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</si>
  <si>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</si>
  <si>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</si>
  <si>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</si>
  <si>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</si>
  <si>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</si>
  <si>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</si>
  <si>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</si>
  <si>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</si>
  <si>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</si>
  <si>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</si>
  <si>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</si>
  <si>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</si>
  <si>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</si>
  <si>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</si>
  <si>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</si>
  <si>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</si>
  <si>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</si>
  <si>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</si>
  <si>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</si>
  <si>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</si>
  <si>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</si>
  <si>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</si>
  <si>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</si>
  <si>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</si>
  <si>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</si>
  <si>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</si>
  <si>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</si>
  <si>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</si>
  <si>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</si>
  <si>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</si>
  <si>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</si>
  <si>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</si>
  <si>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</si>
  <si>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</si>
  <si>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</si>
  <si>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</si>
  <si>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</si>
  <si>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</si>
  <si>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</si>
  <si>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</si>
  <si>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</si>
  <si>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</si>
  <si>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</si>
  <si>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</si>
  <si>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</si>
  <si>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</si>
  <si>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</si>
  <si>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</si>
  <si>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</si>
  <si>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</si>
  <si>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</si>
  <si>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</si>
  <si>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</si>
  <si>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</si>
  <si>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</si>
  <si>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</si>
  <si>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</si>
  <si>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</si>
  <si>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</si>
  <si>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</si>
  <si>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</si>
  <si>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</si>
  <si>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</si>
  <si>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</si>
  <si>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</si>
  <si>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</si>
  <si>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</si>
  <si>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</si>
  <si>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</si>
  <si>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</si>
  <si>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</si>
  <si>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</si>
  <si>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</si>
  <si>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</si>
  <si>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</si>
  <si>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</si>
  <si>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</si>
  <si>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</si>
  <si>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</si>
  <si>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</si>
  <si>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</si>
  <si>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</si>
  <si>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</si>
  <si>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</si>
  <si>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</si>
  <si>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</si>
  <si>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</si>
  <si>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</si>
  <si>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</si>
  <si>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</si>
  <si>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</si>
  <si>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</si>
  <si>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</si>
  <si>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</si>
  <si>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</si>
  <si>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</si>
  <si>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</si>
  <si>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</si>
  <si>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</si>
  <si>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</si>
  <si>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</si>
  <si>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</si>
  <si>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</si>
  <si>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</si>
  <si>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</si>
  <si>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</si>
  <si>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</si>
  <si>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</si>
  <si>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</si>
  <si>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</si>
  <si>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</si>
  <si>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</si>
  <si>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</si>
  <si>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</si>
  <si>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</si>
  <si>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</si>
  <si>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</si>
  <si>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</si>
  <si>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</si>
  <si>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</si>
  <si>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</si>
  <si>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</si>
  <si>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</si>
  <si>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</si>
  <si>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</si>
  <si>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</si>
  <si>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</si>
  <si>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</si>
  <si>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</si>
  <si>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</si>
  <si>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</si>
  <si>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</si>
  <si>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</si>
  <si>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</si>
  <si>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</si>
  <si>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</si>
  <si>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</si>
  <si>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</si>
  <si>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</si>
  <si>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</si>
  <si>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</si>
  <si>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</si>
  <si>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</si>
  <si>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</si>
  <si>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</si>
  <si>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</si>
  <si>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</si>
  <si>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</si>
  <si>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</si>
  <si>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</si>
  <si>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</si>
  <si>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</si>
  <si>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</si>
  <si>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</si>
  <si>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</si>
  <si>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</si>
  <si>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</si>
  <si>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</si>
  <si>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</si>
  <si>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</si>
  <si>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</si>
  <si>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</si>
  <si>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</si>
  <si>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</si>
  <si>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</si>
  <si>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</si>
  <si>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</si>
  <si>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</si>
  <si>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</si>
  <si>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</si>
  <si>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</si>
  <si>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</si>
  <si>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</si>
  <si>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</si>
  <si>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</si>
  <si>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</si>
  <si>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</si>
  <si>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</si>
  <si>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</si>
  <si>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</si>
  <si>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</si>
  <si>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</si>
  <si>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</si>
  <si>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</si>
  <si>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</si>
  <si>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</si>
  <si>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</si>
  <si>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</si>
  <si>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</si>
  <si>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</si>
  <si>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</si>
  <si>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</si>
  <si>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</si>
  <si>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</si>
  <si>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</si>
  <si>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</si>
  <si>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</si>
  <si>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</si>
  <si>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</si>
  <si>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</si>
  <si>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</si>
  <si>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</si>
  <si>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</si>
  <si>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</si>
  <si>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</si>
  <si>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</si>
  <si>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</si>
  <si>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</si>
  <si>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</si>
  <si>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</si>
  <si>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</si>
  <si>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</si>
  <si>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</si>
  <si>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</si>
  <si>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</si>
  <si>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</si>
  <si>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</si>
  <si>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</si>
  <si>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</si>
  <si>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</si>
  <si>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</si>
  <si>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</si>
  <si>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</si>
  <si>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</si>
  <si>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</si>
  <si>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</si>
  <si>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</si>
  <si>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</si>
  <si>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</si>
  <si>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</si>
  <si>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</si>
  <si>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</si>
  <si>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</si>
  <si>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</si>
  <si>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</si>
  <si>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</si>
  <si>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</si>
  <si>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</si>
  <si>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</si>
  <si>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Sum of Quantity</t>
  </si>
  <si>
    <t>Column Labels</t>
  </si>
  <si>
    <t>Grand Total</t>
  </si>
  <si>
    <t>Count of TX ID</t>
  </si>
  <si>
    <t>Sum of Amount</t>
  </si>
  <si>
    <t>Row Labels</t>
  </si>
  <si>
    <t>Sum of Days to Deliver</t>
  </si>
  <si>
    <t>Average of Rating C</t>
  </si>
  <si>
    <t>Average of Days to Deliver</t>
  </si>
  <si>
    <t>👕Quantity</t>
  </si>
  <si>
    <t>💰Amount</t>
  </si>
  <si>
    <t>⭐Rating</t>
  </si>
  <si>
    <t>📅Days to deliver</t>
  </si>
  <si>
    <t>Jan</t>
  </si>
  <si>
    <t>Feb</t>
  </si>
  <si>
    <t>Mar</t>
  </si>
  <si>
    <t>Female</t>
  </si>
  <si>
    <t>Male</t>
  </si>
  <si>
    <t>Other</t>
  </si>
  <si>
    <t>Unknown</t>
  </si>
  <si>
    <t>morethan10</t>
  </si>
  <si>
    <t>6to10</t>
  </si>
  <si>
    <t>state</t>
  </si>
  <si>
    <t>country</t>
  </si>
  <si>
    <t>qty</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</si>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</sst>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4"/>
      <color theme="0"/>
      <name val="Aptos Narrow"/>
      <family val="2"/>
      <scheme val="minor"/>
    </font>
  </fonts>
  <fills count="12">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3" tint="9.9978637043366805E-2"/>
        <bgColor indexed="64"/>
      </patternFill>
    </fill>
    <fill>
      <patternFill patternType="solid">
        <fgColor theme="4" tint="-0.249977111117893"/>
        <bgColor indexed="64"/>
      </patternFill>
    </fill>
    <fill>
      <patternFill patternType="solid">
        <fgColor theme="4"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1" fillId="8" borderId="2" xfId="0" applyFont="1" applyFill="1" applyBorder="1"/>
    <xf numFmtId="0" fontId="0" fillId="0" borderId="0" xfId="0" applyAlignment="1">
      <alignment horizontal="left"/>
    </xf>
    <xf numFmtId="0" fontId="0" fillId="9" borderId="0" xfId="0" applyFill="1"/>
    <xf numFmtId="0" fontId="0" fillId="10" borderId="0" xfId="0" applyFill="1"/>
    <xf numFmtId="0" fontId="0" fillId="11" borderId="0" xfId="0" applyFill="1"/>
    <xf numFmtId="0" fontId="4" fillId="11" borderId="0" xfId="0" applyFont="1" applyFill="1"/>
    <xf numFmtId="164" fontId="0" fillId="0" borderId="0" xfId="0" applyNumberFormat="1"/>
    <xf numFmtId="0" fontId="1" fillId="0" borderId="1" xfId="0" applyFont="1" applyBorder="1"/>
    <xf numFmtId="10" fontId="0" fillId="0" borderId="0" xfId="0" applyNumberFormat="1"/>
    <xf numFmtId="165" fontId="0" fillId="0" borderId="0" xfId="0" applyNumberFormat="1"/>
    <xf numFmtId="0" fontId="1" fillId="0" borderId="0" xfId="0" applyFont="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[ecommerce_sales_data.xlsx]Sheet1!PivotTable2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in the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Sheet1!$B$13:$B$26</c:f>
              <c:numCache>
                <c:formatCode>General</c:formatCode>
                <c:ptCount val="13"/>
                <c:pt idx="0">
                  <c:v>43</c:v>
                </c:pt>
                <c:pt idx="1">
                  <c:v>14</c:v>
                </c:pt>
                <c:pt idx="2">
                  <c:v>15</c:v>
                </c:pt>
                <c:pt idx="3">
                  <c:v>115</c:v>
                </c:pt>
                <c:pt idx="4">
                  <c:v>106</c:v>
                </c:pt>
                <c:pt idx="5">
                  <c:v>125</c:v>
                </c:pt>
                <c:pt idx="6">
                  <c:v>44</c:v>
                </c:pt>
                <c:pt idx="7">
                  <c:v>26</c:v>
                </c:pt>
                <c:pt idx="8">
                  <c:v>51</c:v>
                </c:pt>
                <c:pt idx="9">
                  <c:v>83</c:v>
                </c:pt>
                <c:pt idx="10">
                  <c:v>15</c:v>
                </c:pt>
                <c:pt idx="11">
                  <c:v>67</c:v>
                </c:pt>
                <c:pt idx="12">
                  <c:v>29</c:v>
                </c:pt>
              </c:numCache>
            </c:numRef>
          </c:val>
          <c:smooth val="0"/>
          <c:extLst>
            <c:ext xmlns:c16="http://schemas.microsoft.com/office/drawing/2014/chart" uri="{C3380CC4-5D6E-409C-BE32-E72D297353CC}">
              <c16:uniqueId val="{00000000-5A72-46E6-B82A-5008D0DFD124}"/>
            </c:ext>
          </c:extLst>
        </c:ser>
        <c:dLbls>
          <c:showLegendKey val="0"/>
          <c:showVal val="0"/>
          <c:showCatName val="0"/>
          <c:showSerName val="0"/>
          <c:showPercent val="0"/>
          <c:showBubbleSize val="0"/>
        </c:dLbls>
        <c:marker val="1"/>
        <c:smooth val="0"/>
        <c:axId val="1495097296"/>
        <c:axId val="1495098736"/>
      </c:lineChart>
      <c:lineChart>
        <c:grouping val="standard"/>
        <c:varyColors val="0"/>
        <c:ser>
          <c:idx val="1"/>
          <c:order val="1"/>
          <c:tx>
            <c:strRef>
              <c:f>Sheet1!$C$12</c:f>
              <c:strCache>
                <c:ptCount val="1"/>
                <c:pt idx="0">
                  <c:v>Sum of Amount</c:v>
                </c:pt>
              </c:strCache>
            </c:strRef>
          </c:tx>
          <c:spPr>
            <a:ln w="28575" cap="rnd">
              <a:solidFill>
                <a:schemeClr val="accent4"/>
              </a:solidFill>
              <a:round/>
            </a:ln>
            <a:effectLst/>
          </c:spPr>
          <c:marker>
            <c:symbol val="none"/>
          </c:marker>
          <c:cat>
            <c:strRef>
              <c:f>Sheet1!$A$13:$A$26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Sheet1!$C$13:$C$26</c:f>
              <c:numCache>
                <c:formatCode>[$$-C09]#,##0</c:formatCode>
                <c:ptCount val="13"/>
                <c:pt idx="0">
                  <c:v>1544.3999999999999</c:v>
                </c:pt>
                <c:pt idx="1">
                  <c:v>768.19999999999993</c:v>
                </c:pt>
                <c:pt idx="2">
                  <c:v>470.20000000000005</c:v>
                </c:pt>
                <c:pt idx="3">
                  <c:v>5443.2</c:v>
                </c:pt>
                <c:pt idx="4">
                  <c:v>4419.4999999999991</c:v>
                </c:pt>
                <c:pt idx="5">
                  <c:v>6110.9999999999991</c:v>
                </c:pt>
                <c:pt idx="6">
                  <c:v>2134.8000000000002</c:v>
                </c:pt>
                <c:pt idx="7">
                  <c:v>1218.5999999999999</c:v>
                </c:pt>
                <c:pt idx="8">
                  <c:v>1944.5000000000002</c:v>
                </c:pt>
                <c:pt idx="9">
                  <c:v>3242.7</c:v>
                </c:pt>
                <c:pt idx="10">
                  <c:v>1012.4</c:v>
                </c:pt>
                <c:pt idx="11">
                  <c:v>3357.2999999999993</c:v>
                </c:pt>
                <c:pt idx="12">
                  <c:v>968.5</c:v>
                </c:pt>
              </c:numCache>
            </c:numRef>
          </c:val>
          <c:smooth val="0"/>
          <c:extLst>
            <c:ext xmlns:c16="http://schemas.microsoft.com/office/drawing/2014/chart" uri="{C3380CC4-5D6E-409C-BE32-E72D297353CC}">
              <c16:uniqueId val="{00000001-5A72-46E6-B82A-5008D0DFD124}"/>
            </c:ext>
          </c:extLst>
        </c:ser>
        <c:dLbls>
          <c:showLegendKey val="0"/>
          <c:showVal val="0"/>
          <c:showCatName val="0"/>
          <c:showSerName val="0"/>
          <c:showPercent val="0"/>
          <c:showBubbleSize val="0"/>
        </c:dLbls>
        <c:marker val="1"/>
        <c:smooth val="0"/>
        <c:axId val="174260640"/>
        <c:axId val="174264000"/>
      </c:lineChart>
      <c:catAx>
        <c:axId val="149509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98736"/>
        <c:crosses val="autoZero"/>
        <c:auto val="1"/>
        <c:lblAlgn val="ctr"/>
        <c:lblOffset val="100"/>
        <c:noMultiLvlLbl val="0"/>
      </c:catAx>
      <c:valAx>
        <c:axId val="1495098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97296"/>
        <c:crosses val="autoZero"/>
        <c:crossBetween val="between"/>
      </c:valAx>
      <c:valAx>
        <c:axId val="174264000"/>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0640"/>
        <c:crosses val="max"/>
        <c:crossBetween val="between"/>
      </c:valAx>
      <c:catAx>
        <c:axId val="17426064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40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Sheet4!$A$13:$A$20</c:f>
              <c:strCache>
                <c:ptCount val="7"/>
                <c:pt idx="0">
                  <c:v>1</c:v>
                </c:pt>
                <c:pt idx="1">
                  <c:v>2</c:v>
                </c:pt>
                <c:pt idx="2">
                  <c:v>3</c:v>
                </c:pt>
                <c:pt idx="3">
                  <c:v>4</c:v>
                </c:pt>
                <c:pt idx="4">
                  <c:v>5</c:v>
                </c:pt>
                <c:pt idx="5">
                  <c:v>6to10</c:v>
                </c:pt>
                <c:pt idx="6">
                  <c:v>morethan10</c:v>
                </c:pt>
              </c:strCache>
            </c:strRef>
          </c:cat>
          <c:val>
            <c:numRef>
              <c:f>Sheet4!$B$13:$B$20</c:f>
              <c:numCache>
                <c:formatCode>General</c:formatCode>
                <c:ptCount val="7"/>
                <c:pt idx="0">
                  <c:v>16</c:v>
                </c:pt>
                <c:pt idx="1">
                  <c:v>30</c:v>
                </c:pt>
                <c:pt idx="2">
                  <c:v>13</c:v>
                </c:pt>
                <c:pt idx="3">
                  <c:v>11</c:v>
                </c:pt>
                <c:pt idx="4">
                  <c:v>10</c:v>
                </c:pt>
                <c:pt idx="5">
                  <c:v>22</c:v>
                </c:pt>
                <c:pt idx="6">
                  <c:v>17</c:v>
                </c:pt>
              </c:numCache>
            </c:numRef>
          </c:val>
          <c:extLst>
            <c:ext xmlns:c16="http://schemas.microsoft.com/office/drawing/2014/chart" uri="{C3380CC4-5D6E-409C-BE32-E72D297353CC}">
              <c16:uniqueId val="{00000000-3C12-417A-A8E9-3B269143422B}"/>
            </c:ext>
          </c:extLst>
        </c:ser>
        <c:dLbls>
          <c:dLblPos val="outEnd"/>
          <c:showLegendKey val="0"/>
          <c:showVal val="1"/>
          <c:showCatName val="0"/>
          <c:showSerName val="0"/>
          <c:showPercent val="0"/>
          <c:showBubbleSize val="0"/>
        </c:dLbls>
        <c:gapWidth val="219"/>
        <c:overlap val="-27"/>
        <c:axId val="413668384"/>
        <c:axId val="413669824"/>
      </c:barChart>
      <c:catAx>
        <c:axId val="413668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69824"/>
        <c:crosses val="autoZero"/>
        <c:auto val="1"/>
        <c:lblAlgn val="ctr"/>
        <c:lblOffset val="100"/>
        <c:noMultiLvlLbl val="0"/>
      </c:catAx>
      <c:valAx>
        <c:axId val="4136698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6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1"/>
            </a:solidFill>
            <a:ln>
              <a:noFill/>
            </a:ln>
            <a:effectLst/>
          </c:spPr>
          <c:invertIfNegative val="0"/>
          <c:cat>
            <c:strRef>
              <c:f>Sheet5!$A$5:$A$23</c:f>
              <c:strCache>
                <c:ptCount val="18"/>
                <c:pt idx="0">
                  <c:v>T-Shirts</c:v>
                </c:pt>
                <c:pt idx="1">
                  <c:v>Bikinis</c:v>
                </c:pt>
                <c:pt idx="2">
                  <c:v>Sundresses</c:v>
                </c:pt>
                <c:pt idx="3">
                  <c:v>Shorts</c:v>
                </c:pt>
                <c:pt idx="4">
                  <c:v>Graphic Tees</c:v>
                </c:pt>
                <c:pt idx="5">
                  <c:v>Tank Tops</c:v>
                </c:pt>
                <c:pt idx="6">
                  <c:v>Jeans</c:v>
                </c:pt>
                <c:pt idx="7">
                  <c:v>Sandals</c:v>
                </c:pt>
                <c:pt idx="8">
                  <c:v>Maxi Dresses</c:v>
                </c:pt>
                <c:pt idx="9">
                  <c:v>Sneakers</c:v>
                </c:pt>
                <c:pt idx="10">
                  <c:v>Crop Tops</c:v>
                </c:pt>
                <c:pt idx="11">
                  <c:v>Casual Dresses</c:v>
                </c:pt>
                <c:pt idx="12">
                  <c:v>Hoodies &amp; Sweatshirts</c:v>
                </c:pt>
                <c:pt idx="13">
                  <c:v>Workout Tops</c:v>
                </c:pt>
                <c:pt idx="14">
                  <c:v>Leggings</c:v>
                </c:pt>
                <c:pt idx="15">
                  <c:v>Sunglasses</c:v>
                </c:pt>
                <c:pt idx="16">
                  <c:v>Pajama Sets</c:v>
                </c:pt>
                <c:pt idx="17">
                  <c:v>Baseball Caps</c:v>
                </c:pt>
              </c:strCache>
            </c:strRef>
          </c:cat>
          <c:val>
            <c:numRef>
              <c:f>Sheet5!$B$5:$B$23</c:f>
              <c:numCache>
                <c:formatCode>General</c:formatCode>
                <c:ptCount val="18"/>
                <c:pt idx="0">
                  <c:v>122</c:v>
                </c:pt>
                <c:pt idx="1">
                  <c:v>92</c:v>
                </c:pt>
                <c:pt idx="2">
                  <c:v>82</c:v>
                </c:pt>
                <c:pt idx="3">
                  <c:v>73</c:v>
                </c:pt>
                <c:pt idx="4">
                  <c:v>65</c:v>
                </c:pt>
                <c:pt idx="5">
                  <c:v>53</c:v>
                </c:pt>
                <c:pt idx="6">
                  <c:v>49</c:v>
                </c:pt>
                <c:pt idx="7">
                  <c:v>38</c:v>
                </c:pt>
                <c:pt idx="8">
                  <c:v>32</c:v>
                </c:pt>
                <c:pt idx="9">
                  <c:v>28</c:v>
                </c:pt>
                <c:pt idx="10">
                  <c:v>24</c:v>
                </c:pt>
                <c:pt idx="11">
                  <c:v>22</c:v>
                </c:pt>
                <c:pt idx="12">
                  <c:v>12</c:v>
                </c:pt>
                <c:pt idx="13">
                  <c:v>11</c:v>
                </c:pt>
                <c:pt idx="14">
                  <c:v>9</c:v>
                </c:pt>
                <c:pt idx="15">
                  <c:v>9</c:v>
                </c:pt>
                <c:pt idx="16">
                  <c:v>7</c:v>
                </c:pt>
                <c:pt idx="17">
                  <c:v>5</c:v>
                </c:pt>
              </c:numCache>
            </c:numRef>
          </c:val>
          <c:extLst>
            <c:ext xmlns:c16="http://schemas.microsoft.com/office/drawing/2014/chart" uri="{C3380CC4-5D6E-409C-BE32-E72D297353CC}">
              <c16:uniqueId val="{00000000-ECD0-43A5-B41F-7AABC573D52E}"/>
            </c:ext>
          </c:extLst>
        </c:ser>
        <c:dLbls>
          <c:showLegendKey val="0"/>
          <c:showVal val="0"/>
          <c:showCatName val="0"/>
          <c:showSerName val="0"/>
          <c:showPercent val="0"/>
          <c:showBubbleSize val="0"/>
        </c:dLbls>
        <c:gapWidth val="14"/>
        <c:overlap val="100"/>
        <c:axId val="1445460480"/>
        <c:axId val="1445461440"/>
      </c:barChart>
      <c:catAx>
        <c:axId val="144546048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61440"/>
        <c:crosses val="autoZero"/>
        <c:auto val="1"/>
        <c:lblAlgn val="ctr"/>
        <c:lblOffset val="100"/>
        <c:noMultiLvlLbl val="0"/>
      </c:catAx>
      <c:valAx>
        <c:axId val="1445461440"/>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6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[ecommerce_sales_data.xlsx]Sheet5!PivotTable7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pivotFmt>
      <c:pivotFmt>
        <c:idx val="9"/>
      </c:pivotFmt>
      <c:pivotFmt>
        <c:idx val="10"/>
      </c:pivotFmt>
    </c:pivotFmts>
    <c:plotArea>
      <c:layout/>
      <c:doughnutChart>
        <c:varyColors val="1"/>
        <c:ser>
          <c:idx val="0"/>
          <c:order val="0"/>
          <c:tx>
            <c:strRef>
              <c:f>Sheet5!$J$12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66-491D-9CA4-465F751D27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66-491D-9CA4-465F751D27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66-491D-9CA4-465F751D27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66-491D-9CA4-465F751D2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Sheet5!$I$13:$I$14</c:f>
              <c:strCache>
                <c:ptCount val="1"/>
                <c:pt idx="0">
                  <c:v>Female</c:v>
                </c:pt>
              </c:strCache>
            </c:strRef>
          </c:cat>
          <c:val>
            <c:numRef>
              <c:f>Sheet5!$J$13:$J$14</c:f>
              <c:numCache>
                <c:formatCode>General</c:formatCode>
                <c:ptCount val="1"/>
                <c:pt idx="0">
                  <c:v>6272</c:v>
                </c:pt>
              </c:numCache>
            </c:numRef>
          </c:val>
          <c:extLst>
            <c:ext xmlns:c16="http://schemas.microsoft.com/office/drawing/2014/chart" uri="{C3380CC4-5D6E-409C-BE32-E72D297353CC}">
              <c16:uniqueId val="{00000008-3566-491D-9CA4-465F751D27B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[ecommerce_sales_data.xlsx]Sheet5!PivotTable5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5290747107312E-2"/>
          <c:y val="0.23236173393124068"/>
          <c:w val="0.89659827732801001"/>
          <c:h val="0.55001294681214175"/>
        </c:manualLayout>
      </c:layout>
      <c:barChart>
        <c:barDir val="col"/>
        <c:grouping val="clustered"/>
        <c:varyColors val="0"/>
        <c:ser>
          <c:idx val="0"/>
          <c:order val="0"/>
          <c:tx>
            <c:strRef>
              <c:f>Sheet5!$D$31</c:f>
              <c:strCache>
                <c:ptCount val="1"/>
                <c:pt idx="0">
                  <c:v>Total</c:v>
                </c:pt>
              </c:strCache>
            </c:strRef>
          </c:tx>
          <c:spPr>
            <a:solidFill>
              <a:schemeClr val="accent1"/>
            </a:solidFill>
            <a:ln>
              <a:noFill/>
            </a:ln>
            <a:effectLst/>
          </c:spPr>
          <c:invertIfNegative val="0"/>
          <c:cat>
            <c:strRef>
              <c:f>Sheet5!$C$32:$C$42</c:f>
              <c:strCache>
                <c:ptCount val="10"/>
                <c:pt idx="0">
                  <c:v>0</c:v>
                </c:pt>
                <c:pt idx="1">
                  <c:v>1</c:v>
                </c:pt>
                <c:pt idx="2">
                  <c:v>2</c:v>
                </c:pt>
                <c:pt idx="3">
                  <c:v>3</c:v>
                </c:pt>
                <c:pt idx="4">
                  <c:v>4</c:v>
                </c:pt>
                <c:pt idx="5">
                  <c:v>5</c:v>
                </c:pt>
                <c:pt idx="6">
                  <c:v>6</c:v>
                </c:pt>
                <c:pt idx="7">
                  <c:v>7</c:v>
                </c:pt>
                <c:pt idx="8">
                  <c:v>8</c:v>
                </c:pt>
                <c:pt idx="9">
                  <c:v>13</c:v>
                </c:pt>
              </c:strCache>
            </c:strRef>
          </c:cat>
          <c:val>
            <c:numRef>
              <c:f>Sheet5!$D$32:$D$42</c:f>
              <c:numCache>
                <c:formatCode>General</c:formatCode>
                <c:ptCount val="10"/>
                <c:pt idx="0">
                  <c:v>8</c:v>
                </c:pt>
                <c:pt idx="1">
                  <c:v>42</c:v>
                </c:pt>
                <c:pt idx="2">
                  <c:v>28</c:v>
                </c:pt>
                <c:pt idx="3">
                  <c:v>14</c:v>
                </c:pt>
                <c:pt idx="4">
                  <c:v>12</c:v>
                </c:pt>
                <c:pt idx="5">
                  <c:v>5</c:v>
                </c:pt>
                <c:pt idx="6">
                  <c:v>6</c:v>
                </c:pt>
                <c:pt idx="7">
                  <c:v>1</c:v>
                </c:pt>
                <c:pt idx="8">
                  <c:v>2</c:v>
                </c:pt>
                <c:pt idx="9">
                  <c:v>1</c:v>
                </c:pt>
              </c:numCache>
            </c:numRef>
          </c:val>
          <c:extLst>
            <c:ext xmlns:c16="http://schemas.microsoft.com/office/drawing/2014/chart" uri="{C3380CC4-5D6E-409C-BE32-E72D297353CC}">
              <c16:uniqueId val="{00000000-97C3-4E05-8DF2-B38EE63535E6}"/>
            </c:ext>
          </c:extLst>
        </c:ser>
        <c:dLbls>
          <c:showLegendKey val="0"/>
          <c:showVal val="0"/>
          <c:showCatName val="0"/>
          <c:showSerName val="0"/>
          <c:showPercent val="0"/>
          <c:showBubbleSize val="0"/>
        </c:dLbls>
        <c:gapWidth val="219"/>
        <c:overlap val="-27"/>
        <c:axId val="634969056"/>
        <c:axId val="634966176"/>
      </c:barChart>
      <c:catAx>
        <c:axId val="6349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66176"/>
        <c:crosses val="autoZero"/>
        <c:auto val="1"/>
        <c:lblAlgn val="ctr"/>
        <c:lblOffset val="100"/>
        <c:noMultiLvlLbl val="0"/>
      </c:catAx>
      <c:valAx>
        <c:axId val="6349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[ecommerce_sales_data.xlsx]Sheet4!PivotTable6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47576871965335E-2"/>
          <c:y val="6.665738752352926E-2"/>
          <c:w val="0.89030796150481195"/>
          <c:h val="0.74385684897495918"/>
        </c:manualLayout>
      </c:layout>
      <c:barChart>
        <c:barDir val="col"/>
        <c:grouping val="clustered"/>
        <c:varyColors val="0"/>
        <c:ser>
          <c:idx val="0"/>
          <c:order val="0"/>
          <c:tx>
            <c:strRef>
              <c:f>Sheet4!$O$16:$O$17</c:f>
              <c:strCache>
                <c:ptCount val="1"/>
                <c:pt idx="0">
                  <c:v>1</c:v>
                </c:pt>
              </c:strCache>
            </c:strRef>
          </c:tx>
          <c:spPr>
            <a:solidFill>
              <a:schemeClr val="accent1"/>
            </a:solidFill>
            <a:ln>
              <a:noFill/>
            </a:ln>
            <a:effectLst/>
          </c:spPr>
          <c:invertIfNegative val="0"/>
          <c:cat>
            <c:strRef>
              <c:f>Sheet4!$N$18:$N$21</c:f>
              <c:strCache>
                <c:ptCount val="3"/>
                <c:pt idx="0">
                  <c:v>Jan</c:v>
                </c:pt>
                <c:pt idx="1">
                  <c:v>Feb</c:v>
                </c:pt>
                <c:pt idx="2">
                  <c:v>Mar</c:v>
                </c:pt>
              </c:strCache>
            </c:strRef>
          </c:cat>
          <c:val>
            <c:numRef>
              <c:f>Sheet4!$O$18:$O$21</c:f>
              <c:numCache>
                <c:formatCode>General</c:formatCode>
                <c:ptCount val="3"/>
                <c:pt idx="0">
                  <c:v>2</c:v>
                </c:pt>
                <c:pt idx="1">
                  <c:v>1</c:v>
                </c:pt>
                <c:pt idx="2">
                  <c:v>1</c:v>
                </c:pt>
              </c:numCache>
            </c:numRef>
          </c:val>
          <c:extLst>
            <c:ext xmlns:c16="http://schemas.microsoft.com/office/drawing/2014/chart" uri="{C3380CC4-5D6E-409C-BE32-E72D297353CC}">
              <c16:uniqueId val="{00000000-4BCB-4093-848F-DCBBA3384674}"/>
            </c:ext>
          </c:extLst>
        </c:ser>
        <c:ser>
          <c:idx val="1"/>
          <c:order val="1"/>
          <c:tx>
            <c:strRef>
              <c:f>Sheet4!$P$16:$P$17</c:f>
              <c:strCache>
                <c:ptCount val="1"/>
                <c:pt idx="0">
                  <c:v>2</c:v>
                </c:pt>
              </c:strCache>
            </c:strRef>
          </c:tx>
          <c:spPr>
            <a:solidFill>
              <a:schemeClr val="accent2"/>
            </a:solidFill>
            <a:ln>
              <a:noFill/>
            </a:ln>
            <a:effectLst/>
          </c:spPr>
          <c:invertIfNegative val="0"/>
          <c:cat>
            <c:strRef>
              <c:f>Sheet4!$N$18:$N$21</c:f>
              <c:strCache>
                <c:ptCount val="3"/>
                <c:pt idx="0">
                  <c:v>Jan</c:v>
                </c:pt>
                <c:pt idx="1">
                  <c:v>Feb</c:v>
                </c:pt>
                <c:pt idx="2">
                  <c:v>Mar</c:v>
                </c:pt>
              </c:strCache>
            </c:strRef>
          </c:cat>
          <c:val>
            <c:numRef>
              <c:f>Sheet4!$P$18:$P$21</c:f>
              <c:numCache>
                <c:formatCode>General</c:formatCode>
                <c:ptCount val="3"/>
                <c:pt idx="1">
                  <c:v>1</c:v>
                </c:pt>
                <c:pt idx="2">
                  <c:v>5</c:v>
                </c:pt>
              </c:numCache>
            </c:numRef>
          </c:val>
          <c:extLst>
            <c:ext xmlns:c16="http://schemas.microsoft.com/office/drawing/2014/chart" uri="{C3380CC4-5D6E-409C-BE32-E72D297353CC}">
              <c16:uniqueId val="{00000001-4BCB-4093-848F-DCBBA3384674}"/>
            </c:ext>
          </c:extLst>
        </c:ser>
        <c:ser>
          <c:idx val="2"/>
          <c:order val="2"/>
          <c:tx>
            <c:strRef>
              <c:f>Sheet4!$Q$16:$Q$17</c:f>
              <c:strCache>
                <c:ptCount val="1"/>
                <c:pt idx="0">
                  <c:v>3</c:v>
                </c:pt>
              </c:strCache>
            </c:strRef>
          </c:tx>
          <c:spPr>
            <a:solidFill>
              <a:schemeClr val="accent3"/>
            </a:solidFill>
            <a:ln>
              <a:noFill/>
            </a:ln>
            <a:effectLst/>
          </c:spPr>
          <c:invertIfNegative val="0"/>
          <c:cat>
            <c:strRef>
              <c:f>Sheet4!$N$18:$N$21</c:f>
              <c:strCache>
                <c:ptCount val="3"/>
                <c:pt idx="0">
                  <c:v>Jan</c:v>
                </c:pt>
                <c:pt idx="1">
                  <c:v>Feb</c:v>
                </c:pt>
                <c:pt idx="2">
                  <c:v>Mar</c:v>
                </c:pt>
              </c:strCache>
            </c:strRef>
          </c:cat>
          <c:val>
            <c:numRef>
              <c:f>Sheet4!$Q$18:$Q$21</c:f>
              <c:numCache>
                <c:formatCode>General</c:formatCode>
                <c:ptCount val="3"/>
                <c:pt idx="0">
                  <c:v>8</c:v>
                </c:pt>
                <c:pt idx="1">
                  <c:v>2</c:v>
                </c:pt>
                <c:pt idx="2">
                  <c:v>4</c:v>
                </c:pt>
              </c:numCache>
            </c:numRef>
          </c:val>
          <c:extLst>
            <c:ext xmlns:c16="http://schemas.microsoft.com/office/drawing/2014/chart" uri="{C3380CC4-5D6E-409C-BE32-E72D297353CC}">
              <c16:uniqueId val="{00000002-4BCB-4093-848F-DCBBA3384674}"/>
            </c:ext>
          </c:extLst>
        </c:ser>
        <c:ser>
          <c:idx val="3"/>
          <c:order val="3"/>
          <c:tx>
            <c:strRef>
              <c:f>Sheet4!$R$16:$R$17</c:f>
              <c:strCache>
                <c:ptCount val="1"/>
                <c:pt idx="0">
                  <c:v>4</c:v>
                </c:pt>
              </c:strCache>
            </c:strRef>
          </c:tx>
          <c:spPr>
            <a:solidFill>
              <a:schemeClr val="accent4"/>
            </a:solidFill>
            <a:ln>
              <a:noFill/>
            </a:ln>
            <a:effectLst/>
          </c:spPr>
          <c:invertIfNegative val="0"/>
          <c:cat>
            <c:strRef>
              <c:f>Sheet4!$N$18:$N$21</c:f>
              <c:strCache>
                <c:ptCount val="3"/>
                <c:pt idx="0">
                  <c:v>Jan</c:v>
                </c:pt>
                <c:pt idx="1">
                  <c:v>Feb</c:v>
                </c:pt>
                <c:pt idx="2">
                  <c:v>Mar</c:v>
                </c:pt>
              </c:strCache>
            </c:strRef>
          </c:cat>
          <c:val>
            <c:numRef>
              <c:f>Sheet4!$R$18:$R$21</c:f>
              <c:numCache>
                <c:formatCode>General</c:formatCode>
                <c:ptCount val="3"/>
                <c:pt idx="0">
                  <c:v>27</c:v>
                </c:pt>
                <c:pt idx="1">
                  <c:v>19</c:v>
                </c:pt>
                <c:pt idx="2">
                  <c:v>10</c:v>
                </c:pt>
              </c:numCache>
            </c:numRef>
          </c:val>
          <c:extLst>
            <c:ext xmlns:c16="http://schemas.microsoft.com/office/drawing/2014/chart" uri="{C3380CC4-5D6E-409C-BE32-E72D297353CC}">
              <c16:uniqueId val="{00000003-4BCB-4093-848F-DCBBA3384674}"/>
            </c:ext>
          </c:extLst>
        </c:ser>
        <c:ser>
          <c:idx val="4"/>
          <c:order val="4"/>
          <c:tx>
            <c:strRef>
              <c:f>Sheet4!$S$16:$S$17</c:f>
              <c:strCache>
                <c:ptCount val="1"/>
                <c:pt idx="0">
                  <c:v>5</c:v>
                </c:pt>
              </c:strCache>
            </c:strRef>
          </c:tx>
          <c:spPr>
            <a:solidFill>
              <a:schemeClr val="accent5"/>
            </a:solidFill>
            <a:ln>
              <a:noFill/>
            </a:ln>
            <a:effectLst/>
          </c:spPr>
          <c:invertIfNegative val="0"/>
          <c:cat>
            <c:strRef>
              <c:f>Sheet4!$N$18:$N$21</c:f>
              <c:strCache>
                <c:ptCount val="3"/>
                <c:pt idx="0">
                  <c:v>Jan</c:v>
                </c:pt>
                <c:pt idx="1">
                  <c:v>Feb</c:v>
                </c:pt>
                <c:pt idx="2">
                  <c:v>Mar</c:v>
                </c:pt>
              </c:strCache>
            </c:strRef>
          </c:cat>
          <c:val>
            <c:numRef>
              <c:f>Sheet4!$S$18:$S$21</c:f>
              <c:numCache>
                <c:formatCode>General</c:formatCode>
                <c:ptCount val="3"/>
                <c:pt idx="0">
                  <c:v>8</c:v>
                </c:pt>
                <c:pt idx="1">
                  <c:v>20</c:v>
                </c:pt>
                <c:pt idx="2">
                  <c:v>11</c:v>
                </c:pt>
              </c:numCache>
            </c:numRef>
          </c:val>
          <c:extLst>
            <c:ext xmlns:c16="http://schemas.microsoft.com/office/drawing/2014/chart" uri="{C3380CC4-5D6E-409C-BE32-E72D297353CC}">
              <c16:uniqueId val="{00000009-4BCB-4093-848F-DCBBA3384674}"/>
            </c:ext>
          </c:extLst>
        </c:ser>
        <c:dLbls>
          <c:showLegendKey val="0"/>
          <c:showVal val="0"/>
          <c:showCatName val="0"/>
          <c:showSerName val="0"/>
          <c:showPercent val="0"/>
          <c:showBubbleSize val="0"/>
        </c:dLbls>
        <c:gapWidth val="219"/>
        <c:overlap val="-27"/>
        <c:axId val="1071348960"/>
        <c:axId val="457610768"/>
      </c:barChart>
      <c:catAx>
        <c:axId val="107134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10768"/>
        <c:crosses val="autoZero"/>
        <c:auto val="1"/>
        <c:lblAlgn val="ctr"/>
        <c:lblOffset val="100"/>
        <c:noMultiLvlLbl val="0"/>
      </c:catAx>
      <c:valAx>
        <c:axId val="45761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4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5.png"/><Relationship Id="rId5" Type="http://schemas.openxmlformats.org/officeDocument/2006/relationships/image" Target="../media/image6.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83820</xdr:colOff>
      <xdr:row>2</xdr:row>
      <xdr:rowOff>82296</xdr:rowOff>
    </xdr:from>
    <xdr:to>
      <xdr:col>1</xdr:col>
      <xdr:colOff>876300</xdr:colOff>
      <xdr:row>4</xdr:row>
      <xdr:rowOff>53340</xdr:rowOff>
    </xdr:to>
    <xdr:sp macro="" textlink="Sheet1!G4">
      <xdr:nvSpPr>
        <xdr:cNvPr id="7" name="TextBox 6">
          <a:extLst>
            <a:ext uri="{FF2B5EF4-FFF2-40B4-BE49-F238E27FC236}">
              <a16:creationId xmlns:a16="http://schemas.microsoft.com/office/drawing/2014/main" id="{1737B672-1655-99C7-A241-D6F1EE76A090}"/>
            </a:ext>
          </a:extLst>
        </xdr:cNvPr>
        <xdr:cNvSpPr txBox="1"/>
      </xdr:nvSpPr>
      <xdr:spPr>
        <a:xfrm>
          <a:off x="281940" y="539496"/>
          <a:ext cx="792480" cy="336804"/>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47039E5-07C1-4417-AA81-A38F555F3CF2}"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119</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190500</xdr:colOff>
      <xdr:row>4</xdr:row>
      <xdr:rowOff>217932</xdr:rowOff>
    </xdr:from>
    <xdr:to>
      <xdr:col>2</xdr:col>
      <xdr:colOff>99060</xdr:colOff>
      <xdr:row>7</xdr:row>
      <xdr:rowOff>88392</xdr:rowOff>
    </xdr:to>
    <xdr:sp macro="" textlink="Sheet1!F4">
      <xdr:nvSpPr>
        <xdr:cNvPr id="8" name="TextBox 7">
          <a:extLst>
            <a:ext uri="{FF2B5EF4-FFF2-40B4-BE49-F238E27FC236}">
              <a16:creationId xmlns:a16="http://schemas.microsoft.com/office/drawing/2014/main" id="{F979C6F4-5855-43C1-A314-253B7D157351}"/>
            </a:ext>
          </a:extLst>
        </xdr:cNvPr>
        <xdr:cNvSpPr txBox="1"/>
      </xdr:nvSpPr>
      <xdr:spPr>
        <a:xfrm>
          <a:off x="190500" y="1040892"/>
          <a:ext cx="1386840" cy="46482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D54F265-2F4A-417B-A2D4-1FB12EA01648}"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733</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xdr:col>
      <xdr:colOff>7620</xdr:colOff>
      <xdr:row>9</xdr:row>
      <xdr:rowOff>18288</xdr:rowOff>
    </xdr:from>
    <xdr:to>
      <xdr:col>2</xdr:col>
      <xdr:colOff>91440</xdr:colOff>
      <xdr:row>11</xdr:row>
      <xdr:rowOff>3048</xdr:rowOff>
    </xdr:to>
    <xdr:sp macro="" textlink="Sheet1!I4">
      <xdr:nvSpPr>
        <xdr:cNvPr id="9" name="TextBox 8">
          <a:extLst>
            <a:ext uri="{FF2B5EF4-FFF2-40B4-BE49-F238E27FC236}">
              <a16:creationId xmlns:a16="http://schemas.microsoft.com/office/drawing/2014/main" id="{C73B9C2A-125E-4D3B-958B-202F7D5B1EBC}"/>
            </a:ext>
          </a:extLst>
        </xdr:cNvPr>
        <xdr:cNvSpPr txBox="1"/>
      </xdr:nvSpPr>
      <xdr:spPr>
        <a:xfrm>
          <a:off x="205740" y="1847088"/>
          <a:ext cx="1363980" cy="35052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FB3573A-42AC-4291-82EF-95D290672E5F}"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$32.6</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xdr:col>
      <xdr:colOff>15240</xdr:colOff>
      <xdr:row>13</xdr:row>
      <xdr:rowOff>1524</xdr:rowOff>
    </xdr:from>
    <xdr:to>
      <xdr:col>1</xdr:col>
      <xdr:colOff>807720</xdr:colOff>
      <xdr:row>15</xdr:row>
      <xdr:rowOff>1524</xdr:rowOff>
    </xdr:to>
    <xdr:sp macro="" textlink="Sheet1!H4">
      <xdr:nvSpPr>
        <xdr:cNvPr id="10" name="TextBox 9">
          <a:extLst>
            <a:ext uri="{FF2B5EF4-FFF2-40B4-BE49-F238E27FC236}">
              <a16:creationId xmlns:a16="http://schemas.microsoft.com/office/drawing/2014/main" id="{344122BE-D44F-498B-8C67-33B10BE57B80}"/>
            </a:ext>
          </a:extLst>
        </xdr:cNvPr>
        <xdr:cNvSpPr txBox="1"/>
      </xdr:nvSpPr>
      <xdr:spPr>
        <a:xfrm>
          <a:off x="213360" y="2607564"/>
          <a:ext cx="792480" cy="36576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42542F4-BB5A-4A0E-9EB9-CD5D2F754E23}"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4.0</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xdr:col>
      <xdr:colOff>99060</xdr:colOff>
      <xdr:row>17</xdr:row>
      <xdr:rowOff>7620</xdr:rowOff>
    </xdr:from>
    <xdr:to>
      <xdr:col>1</xdr:col>
      <xdr:colOff>891540</xdr:colOff>
      <xdr:row>19</xdr:row>
      <xdr:rowOff>106680</xdr:rowOff>
    </xdr:to>
    <xdr:sp macro="" textlink="Sheet1!J4">
      <xdr:nvSpPr>
        <xdr:cNvPr id="11" name="TextBox 10">
          <a:extLst>
            <a:ext uri="{FF2B5EF4-FFF2-40B4-BE49-F238E27FC236}">
              <a16:creationId xmlns:a16="http://schemas.microsoft.com/office/drawing/2014/main" id="{B900927A-CDA5-41DB-B69B-677FB773735E}"/>
            </a:ext>
          </a:extLst>
        </xdr:cNvPr>
        <xdr:cNvSpPr txBox="1"/>
      </xdr:nvSpPr>
      <xdr:spPr>
        <a:xfrm>
          <a:off x="297180" y="3390900"/>
          <a:ext cx="792480" cy="46482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6E19967-BC83-4CF9-B0AD-4A8D7F060F2B}" type="TxLink">
            <a:rPr lang="en-US" sz="2000" b="1" i="0" u="none" strike="noStrike">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2.4</a:t>
          </a:fld>
          <a:endParaRPr lang="en-IN" sz="2000" b="1">
            <a:gradFill>
              <a:gsLst>
                <a:gs pos="100000">
                  <a:schemeClr val="bg1"/>
                </a:gs>
                <a:gs pos="0">
                  <a:schemeClr val="tx1"/>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152400</xdr:colOff>
      <xdr:row>1</xdr:row>
      <xdr:rowOff>106680</xdr:rowOff>
    </xdr:from>
    <xdr:to>
      <xdr:col>1</xdr:col>
      <xdr:colOff>861060</xdr:colOff>
      <xdr:row>2</xdr:row>
      <xdr:rowOff>137160</xdr:rowOff>
    </xdr:to>
    <xdr:sp macro="" textlink="">
      <xdr:nvSpPr>
        <xdr:cNvPr id="12" name="TextBox 11">
          <a:extLst>
            <a:ext uri="{FF2B5EF4-FFF2-40B4-BE49-F238E27FC236}">
              <a16:creationId xmlns:a16="http://schemas.microsoft.com/office/drawing/2014/main" id="{18D59C62-6480-25BA-72D8-4F2DFCC28D2F}"/>
            </a:ext>
          </a:extLst>
        </xdr:cNvPr>
        <xdr:cNvSpPr txBox="1"/>
      </xdr:nvSpPr>
      <xdr:spPr>
        <a:xfrm>
          <a:off x="152400" y="289560"/>
          <a:ext cx="906780" cy="3048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bg1">
                  <a:lumMod val="85000"/>
                </a:schemeClr>
              </a:solidFill>
              <a:effectLst/>
              <a:latin typeface="+mn-lt"/>
              <a:ea typeface="+mn-ea"/>
              <a:cs typeface="+mn-cs"/>
            </a:rPr>
            <a:t>🛒</a:t>
          </a:r>
          <a:r>
            <a:rPr lang="en-IN" sz="1200" b="1">
              <a:solidFill>
                <a:schemeClr val="bg1">
                  <a:lumMod val="85000"/>
                </a:schemeClr>
              </a:solidFill>
            </a:rPr>
            <a:t>Orders</a:t>
          </a:r>
        </a:p>
      </xdr:txBody>
    </xdr:sp>
    <xdr:clientData/>
  </xdr:twoCellAnchor>
  <xdr:twoCellAnchor>
    <xdr:from>
      <xdr:col>3</xdr:col>
      <xdr:colOff>45720</xdr:colOff>
      <xdr:row>1</xdr:row>
      <xdr:rowOff>76200</xdr:rowOff>
    </xdr:from>
    <xdr:to>
      <xdr:col>8</xdr:col>
      <xdr:colOff>396240</xdr:colOff>
      <xdr:row>15</xdr:row>
      <xdr:rowOff>106680</xdr:rowOff>
    </xdr:to>
    <xdr:graphicFrame macro="">
      <xdr:nvGraphicFramePr>
        <xdr:cNvPr id="14" name="Chart 13">
          <a:extLst>
            <a:ext uri="{FF2B5EF4-FFF2-40B4-BE49-F238E27FC236}">
              <a16:creationId xmlns:a16="http://schemas.microsoft.com/office/drawing/2014/main" id="{CE9B99F1-8231-41EE-8FDD-EC1D12AD4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525780</xdr:colOff>
      <xdr:row>1</xdr:row>
      <xdr:rowOff>106680</xdr:rowOff>
    </xdr:from>
    <xdr:to>
      <xdr:col>14</xdr:col>
      <xdr:colOff>76200</xdr:colOff>
      <xdr:row>15</xdr:row>
      <xdr:rowOff>83820</xdr:rowOff>
    </xdr:to>
    <xdr:sp macro="" textlink="">
      <xdr:nvSpPr>
        <xdr:cNvPr id="17" name="Rectangle 16">
          <a:extLst>
            <a:ext uri="{FF2B5EF4-FFF2-40B4-BE49-F238E27FC236}">
              <a16:creationId xmlns:a16="http://schemas.microsoft.com/office/drawing/2014/main" id="{11FADB89-41F8-17BC-7C81-9E6C4D7EB3B8}"/>
            </a:ext>
          </a:extLst>
        </xdr:cNvPr>
        <xdr:cNvSpPr/>
      </xdr:nvSpPr>
      <xdr:spPr>
        <a:xfrm>
          <a:off x="5684520" y="289560"/>
          <a:ext cx="3208020" cy="27660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121920</xdr:colOff>
          <xdr:row>3</xdr:row>
          <xdr:rowOff>15240</xdr:rowOff>
        </xdr:from>
        <xdr:to>
          <xdr:col>14</xdr:col>
          <xdr:colOff>281940</xdr:colOff>
          <xdr:row>11</xdr:row>
          <xdr:rowOff>160020</xdr:rowOff>
        </xdr:to>
        <xdr:pic>
          <xdr:nvPicPr>
            <xdr:cNvPr id="16" name="Picture 15">
              <a:extLst>
                <a:ext uri="{FF2B5EF4-FFF2-40B4-BE49-F238E27FC236}">
                  <a16:creationId xmlns:a16="http://schemas.microsoft.com/office/drawing/2014/main" id="{56A53A1A-0B72-834D-CE70-437DAE411F9F}"/>
                </a:ext>
              </a:extLst>
            </xdr:cNvPr>
            <xdr:cNvPicPr>
              <a:picLocks noChangeAspect="1" noChangeArrowheads="1"/>
              <a:extLst>
                <a:ext uri="{84589F7E-364E-4C9E-8A38-B11213B215E9}">
                  <a14:cameraTool cellRange="Sheet4!$H$4:$M$9" spid="_x0000_s7190"/>
                </a:ext>
              </a:extLst>
            </xdr:cNvPicPr>
          </xdr:nvPicPr>
          <xdr:blipFill>
            <a:blip xmlns:r="http://schemas.openxmlformats.org/officeDocument/2006/relationships" r:embed="rId2"/>
            <a:srcRect/>
            <a:stretch>
              <a:fillRect/>
            </a:stretch>
          </xdr:blipFill>
          <xdr:spPr bwMode="auto">
            <a:xfrm>
              <a:off x="5890260" y="655320"/>
              <a:ext cx="3208020" cy="16992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205740</xdr:colOff>
      <xdr:row>1</xdr:row>
      <xdr:rowOff>238645</xdr:rowOff>
    </xdr:from>
    <xdr:to>
      <xdr:col>18</xdr:col>
      <xdr:colOff>83820</xdr:colOff>
      <xdr:row>14</xdr:row>
      <xdr:rowOff>119496</xdr:rowOff>
    </xdr:to>
    <xdr:graphicFrame macro="">
      <xdr:nvGraphicFramePr>
        <xdr:cNvPr id="18" name="Chart 17">
          <a:extLst>
            <a:ext uri="{FF2B5EF4-FFF2-40B4-BE49-F238E27FC236}">
              <a16:creationId xmlns:a16="http://schemas.microsoft.com/office/drawing/2014/main" id="{E3404C23-C658-4CC9-A96C-8D8B8B74B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xdr:colOff>
      <xdr:row>16</xdr:row>
      <xdr:rowOff>152400</xdr:rowOff>
    </xdr:from>
    <xdr:to>
      <xdr:col>8</xdr:col>
      <xdr:colOff>601980</xdr:colOff>
      <xdr:row>38</xdr:row>
      <xdr:rowOff>15240</xdr:rowOff>
    </xdr:to>
    <xdr:graphicFrame macro="">
      <xdr:nvGraphicFramePr>
        <xdr:cNvPr id="19" name="Chart 18">
          <a:extLst>
            <a:ext uri="{FF2B5EF4-FFF2-40B4-BE49-F238E27FC236}">
              <a16:creationId xmlns:a16="http://schemas.microsoft.com/office/drawing/2014/main" id="{BD7132D6-00A5-4017-A1E4-D59B8F59C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274320</xdr:colOff>
      <xdr:row>25</xdr:row>
      <xdr:rowOff>114300</xdr:rowOff>
    </xdr:from>
    <xdr:to>
      <xdr:col>7</xdr:col>
      <xdr:colOff>7620</xdr:colOff>
      <xdr:row>36</xdr:row>
      <xdr:rowOff>45720</xdr:rowOff>
    </xdr:to>
    <xdr:graphicFrame macro="">
      <xdr:nvGraphicFramePr>
        <xdr:cNvPr id="20" name="Chart 19">
          <a:extLst>
            <a:ext uri="{FF2B5EF4-FFF2-40B4-BE49-F238E27FC236}">
              <a16:creationId xmlns:a16="http://schemas.microsoft.com/office/drawing/2014/main" id="{BCE208E1-5CF2-4A07-B669-C579B3706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137160</xdr:colOff>
      <xdr:row>16</xdr:row>
      <xdr:rowOff>213360</xdr:rowOff>
    </xdr:from>
    <xdr:to>
      <xdr:col>18</xdr:col>
      <xdr:colOff>76200</xdr:colOff>
      <xdr:row>25</xdr:row>
      <xdr:rowOff>99060</xdr:rowOff>
    </xdr:to>
    <xdr:graphicFrame macro="">
      <xdr:nvGraphicFramePr>
        <xdr:cNvPr id="21" name="Chart 20">
          <a:extLst>
            <a:ext uri="{FF2B5EF4-FFF2-40B4-BE49-F238E27FC236}">
              <a16:creationId xmlns:a16="http://schemas.microsoft.com/office/drawing/2014/main" id="{65C79B2C-DCD3-4A2C-AA4F-339EB2D20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152400</xdr:colOff>
      <xdr:row>25</xdr:row>
      <xdr:rowOff>160020</xdr:rowOff>
    </xdr:from>
    <xdr:to>
      <xdr:col>18</xdr:col>
      <xdr:colOff>99060</xdr:colOff>
      <xdr:row>37</xdr:row>
      <xdr:rowOff>121920</xdr:rowOff>
    </xdr:to>
    <xdr:graphicFrame macro="">
      <xdr:nvGraphicFramePr>
        <xdr:cNvPr id="22" name="Chart 21">
          <a:extLst>
            <a:ext uri="{FF2B5EF4-FFF2-40B4-BE49-F238E27FC236}">
              <a16:creationId xmlns:a16="http://schemas.microsoft.com/office/drawing/2014/main" id="{D34B5D1D-CC65-4F93-BB9F-1F9351B48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19</xdr:row>
      <xdr:rowOff>0</xdr:rowOff>
    </xdr:from>
    <xdr:to>
      <xdr:col>2</xdr:col>
      <xdr:colOff>281940</xdr:colOff>
      <xdr:row>28</xdr:row>
      <xdr:rowOff>167640</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12AFC529-FE78-4C82-974E-8BA7B7283A0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98120" y="3749040"/>
              <a:ext cx="15621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30</xdr:row>
      <xdr:rowOff>0</xdr:rowOff>
    </xdr:from>
    <xdr:to>
      <xdr:col>2</xdr:col>
      <xdr:colOff>320040</xdr:colOff>
      <xdr:row>38</xdr:row>
      <xdr:rowOff>60960</xdr:rowOff>
    </xdr:to>
    <mc:AlternateContent xmlns:mc="http://schemas.openxmlformats.org/markup-compatibility/2006" xmlns:a14="http://schemas.microsoft.com/office/drawing/2010/main">
      <mc:Choice Requires="a14">
        <xdr:graphicFrame macro="">
          <xdr:nvGraphicFramePr>
            <xdr:cNvPr id="26" name="Gender Value">
              <a:extLst>
                <a:ext uri="{FF2B5EF4-FFF2-40B4-BE49-F238E27FC236}">
                  <a16:creationId xmlns:a16="http://schemas.microsoft.com/office/drawing/2014/main" id="{D0066A67-1081-47FE-AA2C-733777893A4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8120" y="5760720"/>
              <a:ext cx="16002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419100</xdr:colOff>
      <xdr:row>1</xdr:row>
      <xdr:rowOff>175260</xdr:rowOff>
    </xdr:from>
    <xdr:to>
      <xdr:col>13</xdr:col>
      <xdr:colOff>121920</xdr:colOff>
      <xdr:row>2</xdr:row>
      <xdr:rowOff>137160</xdr:rowOff>
    </xdr:to>
    <xdr:sp macro="" textlink="">
      <xdr:nvSpPr>
        <xdr:cNvPr id="27" name="TextBox 26">
          <a:extLst>
            <a:ext uri="{FF2B5EF4-FFF2-40B4-BE49-F238E27FC236}">
              <a16:creationId xmlns:a16="http://schemas.microsoft.com/office/drawing/2014/main" id="{6F502EE4-A985-1655-43EA-078C6C43E0A8}"/>
            </a:ext>
          </a:extLst>
        </xdr:cNvPr>
        <xdr:cNvSpPr txBox="1"/>
      </xdr:nvSpPr>
      <xdr:spPr>
        <a:xfrm>
          <a:off x="6187440" y="358140"/>
          <a:ext cx="2141220" cy="2362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50000"/>
                </a:schemeClr>
              </a:solidFill>
            </a:rPr>
            <a:t>How our customers like to buy</a:t>
          </a:r>
        </a:p>
      </xdr:txBody>
    </xdr:sp>
    <xdr:clientData/>
  </xdr:twoCellAnchor>
  <xdr:twoCellAnchor editAs="oneCell">
    <xdr:from>
      <xdr:col>0</xdr:col>
      <xdr:colOff>76201</xdr:colOff>
      <xdr:row>0</xdr:row>
      <xdr:rowOff>0</xdr:rowOff>
    </xdr:from>
    <xdr:to>
      <xdr:col>1</xdr:col>
      <xdr:colOff>1219201</xdr:colOff>
      <xdr:row>1</xdr:row>
      <xdr:rowOff>205000</xdr:rowOff>
    </xdr:to>
    <xdr:pic>
      <xdr:nvPicPr>
        <xdr:cNvPr id="28" name="Picture 27">
          <a:extLst>
            <a:ext uri="{FF2B5EF4-FFF2-40B4-BE49-F238E27FC236}">
              <a16:creationId xmlns:a16="http://schemas.microsoft.com/office/drawing/2014/main" id="{DE60DF41-4F98-4C73-878B-CF521346DE6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76201" y="0"/>
          <a:ext cx="1341120" cy="387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0</xdr:row>
      <xdr:rowOff>0</xdr:rowOff>
    </xdr:from>
    <xdr:to>
      <xdr:col>25</xdr:col>
      <xdr:colOff>205740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5834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1"/>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dra" refreshedDate="46096.519215740744" createdVersion="8" refreshedVersion="8" minRefreshableVersion="3" recordCount="2400" xr:uid="{AB438308-63A9-4C31-A0B7-D718532875A3}">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686375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685AE-C2AE-4EC5-BBB1-9D7DFF08EEE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2:C26"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C450B-0CFF-4511-9E0A-E1940F118C1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dataField="1" showAll="0"/>
    <pivotField showAll="0"/>
    <pivotField showAll="0"/>
    <pivotField dataField="1"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Sum of Quantity" fld="2" baseField="0" baseItem="0"/>
    <dataField name="Count of TX ID" fld="0" subtotal="count"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4CDAF-7F85-46CC-AAC0-05621629F086}"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6:T21"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x="3"/>
        <item h="1"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n="6to10" x="5"/>
        <item n="morethan10" x="6"/>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5" series="1">
      <pivotArea type="data" outline="0" fieldPosition="0">
        <references count="2">
          <reference field="4294967294" count="1" selected="0">
            <x v="0"/>
          </reference>
          <reference field="9" count="1" selected="0">
            <x v="0"/>
          </reference>
        </references>
      </pivotArea>
    </chartFormat>
    <chartFormat chart="9" format="6" series="1">
      <pivotArea type="data" outline="0" fieldPosition="0">
        <references count="2">
          <reference field="4294967294" count="1" selected="0">
            <x v="0"/>
          </reference>
          <reference field="9" count="1" selected="0">
            <x v="1"/>
          </reference>
        </references>
      </pivotArea>
    </chartFormat>
    <chartFormat chart="9" format="7" series="1">
      <pivotArea type="data" outline="0" fieldPosition="0">
        <references count="2">
          <reference field="4294967294" count="1" selected="0">
            <x v="0"/>
          </reference>
          <reference field="9" count="1" selected="0">
            <x v="2"/>
          </reference>
        </references>
      </pivotArea>
    </chartFormat>
    <chartFormat chart="9" format="8" series="1">
      <pivotArea type="data" outline="0" fieldPosition="0">
        <references count="2">
          <reference field="4294967294" count="1" selected="0">
            <x v="0"/>
          </reference>
          <reference field="9" count="1" selected="0">
            <x v="3"/>
          </reference>
        </references>
      </pivotArea>
    </chartFormat>
    <chartFormat chart="9" format="9" series="1">
      <pivotArea type="data" outline="0" fieldPosition="0">
        <references count="2">
          <reference field="4294967294" count="1" selected="0">
            <x v="0"/>
          </reference>
          <reference field="9" count="1" selected="0">
            <x v="4"/>
          </reference>
        </references>
      </pivotArea>
    </chartFormat>
    <chartFormat chart="10" format="10" series="1">
      <pivotArea type="data" outline="0" fieldPosition="0">
        <references count="2">
          <reference field="4294967294" count="1" selected="0">
            <x v="0"/>
          </reference>
          <reference field="9" count="1" selected="0">
            <x v="0"/>
          </reference>
        </references>
      </pivotArea>
    </chartFormat>
    <chartFormat chart="10" format="11" series="1">
      <pivotArea type="data" outline="0" fieldPosition="0">
        <references count="2">
          <reference field="4294967294" count="1" selected="0">
            <x v="0"/>
          </reference>
          <reference field="9" count="1" selected="0">
            <x v="1"/>
          </reference>
        </references>
      </pivotArea>
    </chartFormat>
    <chartFormat chart="10" format="12" series="1">
      <pivotArea type="data" outline="0" fieldPosition="0">
        <references count="2">
          <reference field="4294967294" count="1" selected="0">
            <x v="0"/>
          </reference>
          <reference field="9" count="1" selected="0">
            <x v="2"/>
          </reference>
        </references>
      </pivotArea>
    </chartFormat>
    <chartFormat chart="10" format="13" series="1">
      <pivotArea type="data" outline="0" fieldPosition="0">
        <references count="2">
          <reference field="4294967294" count="1" selected="0">
            <x v="0"/>
          </reference>
          <reference field="9" count="1" selected="0">
            <x v="3"/>
          </reference>
        </references>
      </pivotArea>
    </chartFormat>
    <chartFormat chart="10" format="14" series="1">
      <pivotArea type="data" outline="0" fieldPosition="0">
        <references count="2">
          <reference field="4294967294" count="1" selected="0">
            <x v="0"/>
          </reference>
          <reference field="9" count="1" selected="0">
            <x v="4"/>
          </reference>
        </references>
      </pivotArea>
    </chartFormat>
    <chartFormat chart="11" format="10" series="1">
      <pivotArea type="data" outline="0" fieldPosition="0">
        <references count="2">
          <reference field="4294967294" count="1" selected="0">
            <x v="0"/>
          </reference>
          <reference field="9" count="1" selected="0">
            <x v="0"/>
          </reference>
        </references>
      </pivotArea>
    </chartFormat>
    <chartFormat chart="11" format="11" series="1">
      <pivotArea type="data" outline="0" fieldPosition="0">
        <references count="2">
          <reference field="4294967294" count="1" selected="0">
            <x v="0"/>
          </reference>
          <reference field="9" count="1" selected="0">
            <x v="1"/>
          </reference>
        </references>
      </pivotArea>
    </chartFormat>
    <chartFormat chart="11" format="12" series="1">
      <pivotArea type="data" outline="0" fieldPosition="0">
        <references count="2">
          <reference field="4294967294" count="1" selected="0">
            <x v="0"/>
          </reference>
          <reference field="9" count="1" selected="0">
            <x v="2"/>
          </reference>
        </references>
      </pivotArea>
    </chartFormat>
    <chartFormat chart="11" format="13" series="1">
      <pivotArea type="data" outline="0" fieldPosition="0">
        <references count="2">
          <reference field="4294967294" count="1" selected="0">
            <x v="0"/>
          </reference>
          <reference field="9" count="1" selected="0">
            <x v="3"/>
          </reference>
        </references>
      </pivotArea>
    </chartFormat>
    <chartFormat chart="1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FE1554-DEAF-422E-B264-367D6B37395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33"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items count="5">
        <item x="2"/>
        <item h="1"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8">
        <item x="0"/>
        <item x="1"/>
        <item x="2"/>
        <item x="4"/>
        <item x="3"/>
        <item n="6to10" x="5"/>
        <item n="morethan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E9B4DD-BBEA-4E9F-BBAA-CF03AB2E2625}"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0"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items count="5">
        <item x="2"/>
        <item h="1"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8">
        <item x="0"/>
        <item x="1"/>
        <item x="2"/>
        <item x="4"/>
        <item x="3"/>
        <item n="6to10" x="5"/>
        <item n="morethan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68707A-1466-469C-92D7-B7283EB3061F}"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B9D071-231A-45CF-BA27-1523F415B75D}"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2:J14"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4"/>
  </rowFields>
  <rowItems count="2">
    <i>
      <x/>
    </i>
    <i t="grand">
      <x/>
    </i>
  </rowItems>
  <colItems count="1">
    <i/>
  </colItems>
  <dataFields count="1">
    <dataField name="Sum of Quantity" fld="2" baseField="0" baseItem="0"/>
  </dataFields>
  <chartFormats count="13">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0"/>
          </reference>
        </references>
      </pivotArea>
    </chartFormat>
    <chartFormat chart="12" format="8">
      <pivotArea type="data" outline="0" fieldPosition="0">
        <references count="2">
          <reference field="4294967294" count="1" selected="0">
            <x v="0"/>
          </reference>
          <reference field="14" count="1" selected="0">
            <x v="1"/>
          </reference>
        </references>
      </pivotArea>
    </chartFormat>
    <chartFormat chart="12" format="9">
      <pivotArea type="data" outline="0" fieldPosition="0">
        <references count="2">
          <reference field="4294967294" count="1" selected="0">
            <x v="0"/>
          </reference>
          <reference field="14" count="1" selected="0">
            <x v="2"/>
          </reference>
        </references>
      </pivotArea>
    </chartFormat>
    <chartFormat chart="1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E847CF-B539-464A-A21D-9B00B8737F9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19">
    <i>
      <x v="18"/>
    </i>
    <i>
      <x v="1"/>
    </i>
    <i>
      <x v="14"/>
    </i>
    <i>
      <x v="12"/>
    </i>
    <i>
      <x v="4"/>
    </i>
    <i>
      <x v="16"/>
    </i>
    <i>
      <x v="6"/>
    </i>
    <i>
      <x v="11"/>
    </i>
    <i>
      <x v="9"/>
    </i>
    <i>
      <x v="13"/>
    </i>
    <i>
      <x v="3"/>
    </i>
    <i>
      <x v="2"/>
    </i>
    <i>
      <x v="5"/>
    </i>
    <i>
      <x v="19"/>
    </i>
    <i>
      <x v="8"/>
    </i>
    <i>
      <x v="15"/>
    </i>
    <i>
      <x v="10"/>
    </i>
    <i>
      <x/>
    </i>
    <i t="grand">
      <x/>
    </i>
  </rowItems>
  <colFields count="1">
    <field x="14"/>
  </colFields>
  <colItems count="2">
    <i>
      <x/>
    </i>
    <i t="grand">
      <x/>
    </i>
  </colItems>
  <dataFields count="1">
    <dataField name="Sum of Quantity" fld="2" baseField="0" baseItem="0"/>
  </dataFields>
  <chartFormats count="4">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2EF092-541E-480E-9DBD-F20FB5E1D458}"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31:D42"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2"/>
  </rowFields>
  <rowItems count="11">
    <i>
      <x/>
    </i>
    <i>
      <x v="1"/>
    </i>
    <i>
      <x v="2"/>
    </i>
    <i>
      <x v="3"/>
    </i>
    <i>
      <x v="4"/>
    </i>
    <i>
      <x v="5"/>
    </i>
    <i>
      <x v="6"/>
    </i>
    <i>
      <x v="7"/>
    </i>
    <i>
      <x v="8"/>
    </i>
    <i>
      <x v="13"/>
    </i>
    <i t="grand">
      <x/>
    </i>
  </rowItems>
  <colItems count="1">
    <i/>
  </colItems>
  <dataFields count="1">
    <dataField name="Count of TX ID" fld="0" subtotal="count"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0DE8E1-8ACA-41D5-9BCE-9E98B3911ABB}"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2:K13" firstHeaderRow="1" firstDataRow="1" firstDataCol="0"/>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dataField="1" showAll="0"/>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Items count="1">
    <i/>
  </rowItems>
  <colItems count="1">
    <i/>
  </colItems>
  <dataFields count="1">
    <dataField name="Sum of Days to Delive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010FA0-E9BB-49B4-AE01-8CFA9E73E177}" name="PivotTable8"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J21:M80"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7"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12DAABB-356C-4781-AF56-3F1B1F1B4671}" sourceName="Order Mode">
  <pivotTables>
    <pivotTable tabId="8" name="PivotTable6"/>
    <pivotTable tabId="5" name="PivotTable1"/>
    <pivotTable tabId="5" name="PivotTable2"/>
    <pivotTable tabId="8" name="PivotTable3"/>
    <pivotTable tabId="8" name="PivotTable5"/>
    <pivotTable tabId="9" name="PivotTable4"/>
    <pivotTable tabId="9" name="PivotTable5"/>
  </pivotTables>
  <data>
    <tabular pivotCacheId="686375770">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2BAD8ED-48F4-4DC6-9B42-7DC28C99471D}" sourceName="Gender Value">
  <pivotTables>
    <pivotTable tabId="8" name="PivotTable6"/>
    <pivotTable tabId="5" name="PivotTable1"/>
    <pivotTable tabId="5" name="PivotTable2"/>
    <pivotTable tabId="8" name="PivotTable3"/>
    <pivotTable tabId="8" name="PivotTable5"/>
    <pivotTable tabId="9" name="PivotTable4"/>
    <pivotTable tabId="9" name="PivotTable5"/>
    <pivotTable tabId="9" name="PivotTable7"/>
  </pivotTables>
  <data>
    <tabular pivotCacheId="686375770">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1164882-339F-43FD-830F-B10CFD654969}" cache="Slicer_Order_Mode" caption="Order Mode" rowHeight="247650"/>
  <slicer name="Gender Value" xr10:uid="{39E93765-7430-4B14-BF7C-5310D0E9BCFB}"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7F17-E4AA-4982-92D8-D309ACA9C106}">
  <dimension ref="A3:J26"/>
  <sheetViews>
    <sheetView workbookViewId="0">
      <selection activeCell="A3" sqref="A3"/>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6" max="45" width="15.5546875" bestFit="1" customWidth="1"/>
    <col min="46" max="46" width="18.77734375" bestFit="1" customWidth="1"/>
    <col min="47" max="47" width="16.77734375" bestFit="1" customWidth="1"/>
    <col min="48" max="48" width="18.109375" bestFit="1" customWidth="1"/>
    <col min="49" max="2401" width="9" bestFit="1" customWidth="1"/>
    <col min="2402" max="2402" width="10.5546875" bestFit="1" customWidth="1"/>
  </cols>
  <sheetData>
    <row r="3" spans="1:10" x14ac:dyDescent="0.3">
      <c r="A3" t="s">
        <v>2552</v>
      </c>
      <c r="B3" t="s">
        <v>2555</v>
      </c>
      <c r="C3" t="s">
        <v>2556</v>
      </c>
      <c r="D3" t="s">
        <v>2559</v>
      </c>
      <c r="E3" t="s">
        <v>2560</v>
      </c>
    </row>
    <row r="4" spans="1:10" x14ac:dyDescent="0.3">
      <c r="A4">
        <v>733</v>
      </c>
      <c r="B4">
        <v>119</v>
      </c>
      <c r="C4">
        <v>32635.300000000014</v>
      </c>
      <c r="D4">
        <v>4.0084033613445378</v>
      </c>
      <c r="E4">
        <v>2.3949579831932772</v>
      </c>
      <c r="F4" t="str">
        <f>TEXT(A4,"##,#")</f>
        <v>733</v>
      </c>
      <c r="G4" t="str">
        <f>TEXT(B4,"#,##")</f>
        <v>119</v>
      </c>
      <c r="H4" t="str">
        <f>TEXT(D4,"#.0")</f>
        <v>4.0</v>
      </c>
      <c r="I4" t="str">
        <f>TEXT(C4,"$#,##,.0")</f>
        <v>$32.6</v>
      </c>
      <c r="J4" t="str">
        <f>TEXT(E4,"#.0")</f>
        <v>2.4</v>
      </c>
    </row>
    <row r="12" spans="1:10" x14ac:dyDescent="0.3">
      <c r="A12" s="12" t="s">
        <v>2557</v>
      </c>
      <c r="B12" t="s">
        <v>2552</v>
      </c>
      <c r="C12" t="s">
        <v>2556</v>
      </c>
    </row>
    <row r="13" spans="1:10" x14ac:dyDescent="0.3">
      <c r="A13" s="14">
        <v>1</v>
      </c>
      <c r="B13">
        <v>43</v>
      </c>
      <c r="C13" s="19">
        <v>1544.3999999999999</v>
      </c>
    </row>
    <row r="14" spans="1:10" x14ac:dyDescent="0.3">
      <c r="A14" s="14">
        <v>2</v>
      </c>
      <c r="B14">
        <v>14</v>
      </c>
      <c r="C14" s="19">
        <v>768.19999999999993</v>
      </c>
    </row>
    <row r="15" spans="1:10" x14ac:dyDescent="0.3">
      <c r="A15" s="14">
        <v>3</v>
      </c>
      <c r="B15">
        <v>15</v>
      </c>
      <c r="C15" s="19">
        <v>470.20000000000005</v>
      </c>
    </row>
    <row r="16" spans="1:10" x14ac:dyDescent="0.3">
      <c r="A16" s="14">
        <v>4</v>
      </c>
      <c r="B16">
        <v>115</v>
      </c>
      <c r="C16" s="19">
        <v>5443.2</v>
      </c>
    </row>
    <row r="17" spans="1:3" x14ac:dyDescent="0.3">
      <c r="A17" s="14">
        <v>5</v>
      </c>
      <c r="B17">
        <v>106</v>
      </c>
      <c r="C17" s="19">
        <v>4419.4999999999991</v>
      </c>
    </row>
    <row r="18" spans="1:3" x14ac:dyDescent="0.3">
      <c r="A18" s="14">
        <v>6</v>
      </c>
      <c r="B18">
        <v>125</v>
      </c>
      <c r="C18" s="19">
        <v>6110.9999999999991</v>
      </c>
    </row>
    <row r="19" spans="1:3" x14ac:dyDescent="0.3">
      <c r="A19" s="14">
        <v>7</v>
      </c>
      <c r="B19">
        <v>44</v>
      </c>
      <c r="C19" s="19">
        <v>2134.8000000000002</v>
      </c>
    </row>
    <row r="20" spans="1:3" x14ac:dyDescent="0.3">
      <c r="A20" s="14">
        <v>8</v>
      </c>
      <c r="B20">
        <v>26</v>
      </c>
      <c r="C20" s="19">
        <v>1218.5999999999999</v>
      </c>
    </row>
    <row r="21" spans="1:3" x14ac:dyDescent="0.3">
      <c r="A21" s="14">
        <v>9</v>
      </c>
      <c r="B21">
        <v>51</v>
      </c>
      <c r="C21" s="19">
        <v>1944.5000000000002</v>
      </c>
    </row>
    <row r="22" spans="1:3" x14ac:dyDescent="0.3">
      <c r="A22" s="14">
        <v>10</v>
      </c>
      <c r="B22">
        <v>83</v>
      </c>
      <c r="C22" s="19">
        <v>3242.7</v>
      </c>
    </row>
    <row r="23" spans="1:3" x14ac:dyDescent="0.3">
      <c r="A23" s="14">
        <v>11</v>
      </c>
      <c r="B23">
        <v>15</v>
      </c>
      <c r="C23" s="19">
        <v>1012.4</v>
      </c>
    </row>
    <row r="24" spans="1:3" x14ac:dyDescent="0.3">
      <c r="A24" s="14">
        <v>12</v>
      </c>
      <c r="B24">
        <v>67</v>
      </c>
      <c r="C24" s="19">
        <v>3357.2999999999993</v>
      </c>
    </row>
    <row r="25" spans="1:3" x14ac:dyDescent="0.3">
      <c r="A25" s="14">
        <v>13</v>
      </c>
      <c r="B25">
        <v>29</v>
      </c>
      <c r="C25" s="19">
        <v>968.5</v>
      </c>
    </row>
    <row r="26" spans="1:3" x14ac:dyDescent="0.3">
      <c r="A26" s="14" t="s">
        <v>2554</v>
      </c>
      <c r="B26">
        <v>733</v>
      </c>
      <c r="C26" s="19">
        <v>32635.3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2F6D-D512-49A0-A7ED-5DB139A02880}">
  <dimension ref="A2:EI17"/>
  <sheetViews>
    <sheetView zoomScale="80" zoomScaleNormal="80" workbookViewId="0">
      <selection activeCell="U14" sqref="U14"/>
    </sheetView>
  </sheetViews>
  <sheetFormatPr defaultRowHeight="14.4" x14ac:dyDescent="0.3"/>
  <cols>
    <col min="1" max="1" width="2.88671875" style="17" customWidth="1"/>
    <col min="2" max="2" width="18.6640625" style="17" customWidth="1"/>
    <col min="3" max="3" width="9.21875" style="17" customWidth="1"/>
    <col min="4" max="63" width="8.88671875" style="16"/>
    <col min="64" max="139" width="8.88671875" style="15"/>
  </cols>
  <sheetData>
    <row r="2" spans="2:2" ht="21.6" customHeight="1" x14ac:dyDescent="0.3"/>
    <row r="5" spans="2:2" ht="18" x14ac:dyDescent="0.35">
      <c r="B5" s="18" t="s">
        <v>2561</v>
      </c>
    </row>
    <row r="9" spans="2:2" ht="18" x14ac:dyDescent="0.35">
      <c r="B9" s="18" t="s">
        <v>2562</v>
      </c>
    </row>
    <row r="13" spans="2:2" ht="18" x14ac:dyDescent="0.35">
      <c r="B13" s="18" t="s">
        <v>2563</v>
      </c>
    </row>
    <row r="17" spans="2:2" ht="18" x14ac:dyDescent="0.35">
      <c r="B17" s="18" t="s">
        <v>2564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F9B8-C5CD-4ADB-853F-1E224E85ABB2}">
  <dimension ref="A3:T33"/>
  <sheetViews>
    <sheetView showGridLines="0" workbookViewId="0">
      <selection activeCell="A5" sqref="A5"/>
    </sheetView>
  </sheetViews>
  <sheetFormatPr defaultRowHeight="14.4" x14ac:dyDescent="0.3"/>
  <cols>
    <col min="1" max="1" width="12.44140625" bestFit="1" customWidth="1"/>
    <col min="2" max="2" width="12.21875" bestFit="1" customWidth="1"/>
    <col min="3" max="3" width="7.109375" bestFit="1" customWidth="1"/>
    <col min="4" max="4" width="6.109375" bestFit="1" customWidth="1"/>
    <col min="5" max="5" width="8.5546875" bestFit="1" customWidth="1"/>
    <col min="6" max="6" width="10.5546875" bestFit="1" customWidth="1"/>
    <col min="7" max="7" width="3" bestFit="1" customWidth="1"/>
    <col min="8" max="8" width="9.5546875" customWidth="1"/>
    <col min="9" max="9" width="10.44140625" customWidth="1"/>
    <col min="10" max="10" width="12.88671875" customWidth="1"/>
    <col min="11" max="11" width="10.5546875" bestFit="1" customWidth="1"/>
    <col min="13" max="13" width="13.21875" customWidth="1"/>
    <col min="14" max="14" width="12.44140625" bestFit="1" customWidth="1"/>
    <col min="15" max="15" width="15.5546875" bestFit="1" customWidth="1"/>
    <col min="16" max="16" width="2" bestFit="1" customWidth="1"/>
    <col min="17" max="19" width="3" bestFit="1" customWidth="1"/>
    <col min="20" max="20" width="10.5546875" bestFit="1" customWidth="1"/>
  </cols>
  <sheetData>
    <row r="3" spans="1:15" x14ac:dyDescent="0.3">
      <c r="A3" s="12" t="s">
        <v>2556</v>
      </c>
      <c r="B3" s="12" t="s">
        <v>2553</v>
      </c>
    </row>
    <row r="4" spans="1:15" x14ac:dyDescent="0.3">
      <c r="A4" s="12" t="s">
        <v>2557</v>
      </c>
      <c r="B4" t="s">
        <v>2568</v>
      </c>
      <c r="C4" t="s">
        <v>2569</v>
      </c>
      <c r="D4" t="s">
        <v>2570</v>
      </c>
      <c r="E4" t="s">
        <v>2571</v>
      </c>
      <c r="F4" t="s">
        <v>2554</v>
      </c>
      <c r="I4" t="str">
        <f>B4</f>
        <v>Female</v>
      </c>
      <c r="J4" t="str">
        <f t="shared" ref="J4:L4" si="0">C4</f>
        <v>Male</v>
      </c>
      <c r="K4" t="str">
        <f t="shared" si="0"/>
        <v>Other</v>
      </c>
      <c r="L4" t="str">
        <f t="shared" si="0"/>
        <v>Unknown</v>
      </c>
    </row>
    <row r="5" spans="1:15" x14ac:dyDescent="0.3">
      <c r="A5" s="14" t="s">
        <v>18</v>
      </c>
      <c r="B5" s="21">
        <v>0.18961825201634841</v>
      </c>
      <c r="C5" s="21">
        <v>0.12262322351336576</v>
      </c>
      <c r="D5" s="21">
        <v>1.060537752469185E-2</v>
      </c>
      <c r="E5" s="21">
        <v>3.0599220547662797E-2</v>
      </c>
      <c r="F5" s="21">
        <v>0.35344607360206881</v>
      </c>
      <c r="H5" s="22" t="str">
        <f>A5</f>
        <v>App</v>
      </c>
      <c r="I5" s="22">
        <f t="shared" ref="I5:L5" si="1">B5</f>
        <v>0.18961825201634841</v>
      </c>
      <c r="J5" s="22">
        <f t="shared" si="1"/>
        <v>0.12262322351336576</v>
      </c>
      <c r="K5" s="22">
        <f t="shared" si="1"/>
        <v>1.060537752469185E-2</v>
      </c>
      <c r="L5" s="22">
        <f t="shared" si="1"/>
        <v>3.0599220547662797E-2</v>
      </c>
    </row>
    <row r="6" spans="1:15" x14ac:dyDescent="0.3">
      <c r="A6" s="14" t="s">
        <v>51</v>
      </c>
      <c r="B6" s="21">
        <v>5.0283982091147303E-2</v>
      </c>
      <c r="C6" s="21">
        <v>4.3060781812819873E-2</v>
      </c>
      <c r="D6" s="21">
        <v>1.5320025675641944E-3</v>
      </c>
      <c r="E6" s="21">
        <v>1.7794988689097006E-2</v>
      </c>
      <c r="F6" s="21">
        <v>0.11267175516062837</v>
      </c>
      <c r="H6" s="22" t="str">
        <f t="shared" ref="H6:H9" si="2">A6</f>
        <v>Instagram</v>
      </c>
      <c r="I6" s="22">
        <f t="shared" ref="I6:I9" si="3">B6</f>
        <v>5.0283982091147303E-2</v>
      </c>
      <c r="J6" s="22">
        <f t="shared" ref="J6:J9" si="4">C6</f>
        <v>4.3060781812819873E-2</v>
      </c>
      <c r="K6" s="22">
        <f t="shared" ref="K6:K9" si="5">D6</f>
        <v>1.5320025675641944E-3</v>
      </c>
      <c r="L6" s="22">
        <f t="shared" ref="L6:L9" si="6">E6</f>
        <v>1.7794988689097006E-2</v>
      </c>
    </row>
    <row r="7" spans="1:15" x14ac:dyDescent="0.3">
      <c r="A7" s="14" t="s">
        <v>70</v>
      </c>
      <c r="B7" s="21">
        <v>6.3496059750411282E-2</v>
      </c>
      <c r="C7" s="21">
        <v>4.6071629863988765E-2</v>
      </c>
      <c r="D7" s="21">
        <v>2.306247051322625E-3</v>
      </c>
      <c r="E7" s="21">
        <v>3.8927934093844286E-3</v>
      </c>
      <c r="F7" s="21">
        <v>0.11576673007510711</v>
      </c>
      <c r="H7" s="22" t="str">
        <f t="shared" si="2"/>
        <v>Partner App</v>
      </c>
      <c r="I7" s="22">
        <f t="shared" si="3"/>
        <v>6.3496059750411282E-2</v>
      </c>
      <c r="J7" s="22">
        <f t="shared" si="4"/>
        <v>4.6071629863988765E-2</v>
      </c>
      <c r="K7" s="22">
        <f t="shared" si="5"/>
        <v>2.306247051322625E-3</v>
      </c>
      <c r="L7" s="22">
        <f t="shared" si="6"/>
        <v>3.8927934093844286E-3</v>
      </c>
    </row>
    <row r="8" spans="1:15" x14ac:dyDescent="0.3">
      <c r="A8" s="14" t="s">
        <v>40</v>
      </c>
      <c r="B8" s="21">
        <v>9.6337892927149532E-2</v>
      </c>
      <c r="C8" s="21">
        <v>6.7920115842382611E-2</v>
      </c>
      <c r="D8" s="21">
        <v>5.4979832664581261E-3</v>
      </c>
      <c r="E8" s="21">
        <v>1.2933041488102518E-2</v>
      </c>
      <c r="F8" s="21">
        <v>0.1826890335240928</v>
      </c>
      <c r="H8" s="22" t="str">
        <f t="shared" si="2"/>
        <v>Target.com</v>
      </c>
      <c r="I8" s="22">
        <f t="shared" si="3"/>
        <v>9.6337892927149532E-2</v>
      </c>
      <c r="J8" s="22">
        <f t="shared" si="4"/>
        <v>6.7920115842382611E-2</v>
      </c>
      <c r="K8" s="22">
        <f t="shared" si="5"/>
        <v>5.4979832664581261E-3</v>
      </c>
      <c r="L8" s="22">
        <f t="shared" si="6"/>
        <v>1.2933041488102518E-2</v>
      </c>
    </row>
    <row r="9" spans="1:15" x14ac:dyDescent="0.3">
      <c r="A9" s="14" t="s">
        <v>35</v>
      </c>
      <c r="B9" s="21">
        <v>0.12522098709469262</v>
      </c>
      <c r="C9" s="21">
        <v>9.1492740283116228E-2</v>
      </c>
      <c r="D9" s="21">
        <v>6.3042760790965081E-3</v>
      </c>
      <c r="E9" s="21">
        <v>1.2408404181197551E-2</v>
      </c>
      <c r="F9" s="21">
        <v>0.23542640763810288</v>
      </c>
      <c r="H9" s="22" t="str">
        <f t="shared" si="2"/>
        <v>Website</v>
      </c>
      <c r="I9" s="22">
        <f t="shared" si="3"/>
        <v>0.12522098709469262</v>
      </c>
      <c r="J9" s="22">
        <f t="shared" si="4"/>
        <v>9.1492740283116228E-2</v>
      </c>
      <c r="K9" s="22">
        <f t="shared" si="5"/>
        <v>6.3042760790965081E-3</v>
      </c>
      <c r="L9" s="22">
        <f t="shared" si="6"/>
        <v>1.2408404181197551E-2</v>
      </c>
    </row>
    <row r="10" spans="1:15" x14ac:dyDescent="0.3">
      <c r="A10" s="14" t="s">
        <v>2554</v>
      </c>
      <c r="B10" s="21">
        <v>0.52495717387974916</v>
      </c>
      <c r="C10" s="21">
        <v>0.3711684913156732</v>
      </c>
      <c r="D10" s="21">
        <v>2.6245886489133303E-2</v>
      </c>
      <c r="E10" s="21">
        <v>7.7628448315444312E-2</v>
      </c>
      <c r="F10" s="21">
        <v>1</v>
      </c>
    </row>
    <row r="12" spans="1:15" x14ac:dyDescent="0.3">
      <c r="A12" s="12" t="s">
        <v>2557</v>
      </c>
      <c r="B12" t="s">
        <v>2555</v>
      </c>
    </row>
    <row r="13" spans="1:15" x14ac:dyDescent="0.3">
      <c r="A13" s="14">
        <v>1</v>
      </c>
      <c r="B13">
        <v>16</v>
      </c>
    </row>
    <row r="14" spans="1:15" x14ac:dyDescent="0.3">
      <c r="A14" s="14">
        <v>2</v>
      </c>
      <c r="B14">
        <v>30</v>
      </c>
    </row>
    <row r="15" spans="1:15" x14ac:dyDescent="0.3">
      <c r="A15" s="14">
        <v>3</v>
      </c>
      <c r="B15">
        <v>13</v>
      </c>
    </row>
    <row r="16" spans="1:15" x14ac:dyDescent="0.3">
      <c r="A16" s="14">
        <v>4</v>
      </c>
      <c r="B16">
        <v>11</v>
      </c>
      <c r="N16" s="12" t="s">
        <v>2555</v>
      </c>
      <c r="O16" s="12" t="s">
        <v>2553</v>
      </c>
    </row>
    <row r="17" spans="1:20" x14ac:dyDescent="0.3">
      <c r="A17" s="14">
        <v>5</v>
      </c>
      <c r="B17">
        <v>10</v>
      </c>
      <c r="N17" s="12" t="s">
        <v>2557</v>
      </c>
      <c r="O17">
        <v>1</v>
      </c>
      <c r="P17">
        <v>2</v>
      </c>
      <c r="Q17">
        <v>3</v>
      </c>
      <c r="R17">
        <v>4</v>
      </c>
      <c r="S17">
        <v>5</v>
      </c>
      <c r="T17" t="s">
        <v>2554</v>
      </c>
    </row>
    <row r="18" spans="1:20" x14ac:dyDescent="0.3">
      <c r="A18" s="14" t="s">
        <v>2573</v>
      </c>
      <c r="B18">
        <v>22</v>
      </c>
      <c r="N18" s="14" t="s">
        <v>2565</v>
      </c>
      <c r="O18">
        <v>2</v>
      </c>
      <c r="Q18">
        <v>8</v>
      </c>
      <c r="R18">
        <v>27</v>
      </c>
      <c r="S18">
        <v>8</v>
      </c>
      <c r="T18">
        <v>45</v>
      </c>
    </row>
    <row r="19" spans="1:20" x14ac:dyDescent="0.3">
      <c r="A19" s="14" t="s">
        <v>2572</v>
      </c>
      <c r="B19">
        <v>17</v>
      </c>
      <c r="N19" s="14" t="s">
        <v>2566</v>
      </c>
      <c r="O19">
        <v>1</v>
      </c>
      <c r="P19">
        <v>1</v>
      </c>
      <c r="Q19">
        <v>2</v>
      </c>
      <c r="R19">
        <v>19</v>
      </c>
      <c r="S19">
        <v>20</v>
      </c>
      <c r="T19">
        <v>43</v>
      </c>
    </row>
    <row r="20" spans="1:20" x14ac:dyDescent="0.3">
      <c r="A20" s="14" t="s">
        <v>2554</v>
      </c>
      <c r="B20">
        <v>119</v>
      </c>
      <c r="N20" s="14" t="s">
        <v>2567</v>
      </c>
      <c r="O20">
        <v>1</v>
      </c>
      <c r="P20">
        <v>5</v>
      </c>
      <c r="Q20">
        <v>4</v>
      </c>
      <c r="R20">
        <v>10</v>
      </c>
      <c r="S20">
        <v>11</v>
      </c>
      <c r="T20">
        <v>31</v>
      </c>
    </row>
    <row r="21" spans="1:20" x14ac:dyDescent="0.3">
      <c r="N21" s="14" t="s">
        <v>2554</v>
      </c>
      <c r="O21">
        <v>4</v>
      </c>
      <c r="P21">
        <v>6</v>
      </c>
      <c r="Q21">
        <v>14</v>
      </c>
      <c r="R21">
        <v>56</v>
      </c>
      <c r="S21">
        <v>39</v>
      </c>
      <c r="T21">
        <v>119</v>
      </c>
    </row>
    <row r="25" spans="1:20" x14ac:dyDescent="0.3">
      <c r="A25" s="12" t="s">
        <v>2557</v>
      </c>
      <c r="B25" t="s">
        <v>2555</v>
      </c>
    </row>
    <row r="26" spans="1:20" x14ac:dyDescent="0.3">
      <c r="A26" s="14">
        <v>1</v>
      </c>
      <c r="B26">
        <v>16</v>
      </c>
    </row>
    <row r="27" spans="1:20" x14ac:dyDescent="0.3">
      <c r="A27" s="14">
        <v>2</v>
      </c>
      <c r="B27">
        <v>30</v>
      </c>
    </row>
    <row r="28" spans="1:20" x14ac:dyDescent="0.3">
      <c r="A28" s="14">
        <v>3</v>
      </c>
      <c r="B28">
        <v>13</v>
      </c>
    </row>
    <row r="29" spans="1:20" x14ac:dyDescent="0.3">
      <c r="A29" s="14">
        <v>4</v>
      </c>
      <c r="B29">
        <v>11</v>
      </c>
    </row>
    <row r="30" spans="1:20" x14ac:dyDescent="0.3">
      <c r="A30" s="14">
        <v>5</v>
      </c>
      <c r="B30">
        <v>10</v>
      </c>
    </row>
    <row r="31" spans="1:20" x14ac:dyDescent="0.3">
      <c r="A31" s="14" t="s">
        <v>2573</v>
      </c>
      <c r="B31">
        <v>22</v>
      </c>
    </row>
    <row r="32" spans="1:20" x14ac:dyDescent="0.3">
      <c r="A32" s="14" t="s">
        <v>2572</v>
      </c>
      <c r="B32">
        <v>17</v>
      </c>
    </row>
    <row r="33" spans="1:2" x14ac:dyDescent="0.3">
      <c r="A33" s="14" t="s">
        <v>2554</v>
      </c>
      <c r="B33">
        <v>119</v>
      </c>
    </row>
  </sheetData>
  <conditionalFormatting sqref="H5">
    <cfRule type="colorScale" priority="2">
      <colorScale>
        <cfvo type="min"/>
        <cfvo type="percentile" val="50"/>
        <cfvo type="max"/>
        <color rgb="FF63BE7B"/>
        <color rgb="FFFFEB84"/>
        <color rgb="FFF8696B"/>
      </colorScale>
    </cfRule>
  </conditionalFormatting>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E602-8917-4C89-9168-4AFC23AC742A}">
  <dimension ref="A3:X129"/>
  <sheetViews>
    <sheetView topLeftCell="A16" workbookViewId="0">
      <selection activeCell="D36" sqref="D36"/>
    </sheetView>
  </sheetViews>
  <sheetFormatPr defaultRowHeight="14.4" x14ac:dyDescent="0.3"/>
  <cols>
    <col min="1" max="1" width="19.109375" bestFit="1" customWidth="1"/>
    <col min="2" max="2" width="15.5546875" bestFit="1" customWidth="1"/>
    <col min="3" max="3" width="12.44140625" bestFit="1" customWidth="1"/>
    <col min="4" max="4" width="12.21875" bestFit="1" customWidth="1"/>
    <col min="5" max="5" width="8.5546875" bestFit="1" customWidth="1"/>
    <col min="6" max="6" width="10.5546875" bestFit="1" customWidth="1"/>
    <col min="9" max="9" width="12.44140625" bestFit="1" customWidth="1"/>
    <col min="10" max="10" width="14.21875" bestFit="1" customWidth="1"/>
    <col min="11" max="12" width="19.44140625" bestFit="1" customWidth="1"/>
    <col min="13" max="13" width="13.5546875" bestFit="1" customWidth="1"/>
    <col min="14" max="14" width="10.5546875" bestFit="1" customWidth="1"/>
    <col min="16" max="16" width="13.44140625" customWidth="1"/>
    <col min="17" max="17" width="18" customWidth="1"/>
  </cols>
  <sheetData>
    <row r="3" spans="1:11" x14ac:dyDescent="0.3">
      <c r="A3" s="12" t="s">
        <v>2552</v>
      </c>
      <c r="B3" s="12" t="s">
        <v>2553</v>
      </c>
    </row>
    <row r="4" spans="1:11" x14ac:dyDescent="0.3">
      <c r="A4" s="12" t="s">
        <v>2557</v>
      </c>
      <c r="B4" t="s">
        <v>2568</v>
      </c>
      <c r="C4" t="s">
        <v>2554</v>
      </c>
    </row>
    <row r="5" spans="1:11" x14ac:dyDescent="0.3">
      <c r="A5" s="14" t="s">
        <v>44</v>
      </c>
      <c r="B5">
        <v>122</v>
      </c>
      <c r="C5">
        <v>122</v>
      </c>
    </row>
    <row r="6" spans="1:11" x14ac:dyDescent="0.3">
      <c r="A6" s="14" t="s">
        <v>54</v>
      </c>
      <c r="B6">
        <v>92</v>
      </c>
      <c r="C6">
        <v>92</v>
      </c>
    </row>
    <row r="7" spans="1:11" x14ac:dyDescent="0.3">
      <c r="A7" s="14" t="s">
        <v>46</v>
      </c>
      <c r="B7">
        <v>82</v>
      </c>
      <c r="C7">
        <v>82</v>
      </c>
    </row>
    <row r="8" spans="1:11" x14ac:dyDescent="0.3">
      <c r="A8" s="14" t="s">
        <v>16</v>
      </c>
      <c r="B8">
        <v>73</v>
      </c>
      <c r="C8">
        <v>73</v>
      </c>
    </row>
    <row r="9" spans="1:11" x14ac:dyDescent="0.3">
      <c r="A9" s="14" t="s">
        <v>32</v>
      </c>
      <c r="B9">
        <v>65</v>
      </c>
      <c r="C9">
        <v>65</v>
      </c>
    </row>
    <row r="10" spans="1:11" x14ac:dyDescent="0.3">
      <c r="A10" s="14" t="s">
        <v>22</v>
      </c>
      <c r="B10">
        <v>53</v>
      </c>
      <c r="C10">
        <v>53</v>
      </c>
    </row>
    <row r="11" spans="1:11" x14ac:dyDescent="0.3">
      <c r="A11" s="14" t="s">
        <v>39</v>
      </c>
      <c r="B11">
        <v>49</v>
      </c>
      <c r="C11">
        <v>49</v>
      </c>
    </row>
    <row r="12" spans="1:11" x14ac:dyDescent="0.3">
      <c r="A12" s="14" t="s">
        <v>37</v>
      </c>
      <c r="B12">
        <v>38</v>
      </c>
      <c r="C12">
        <v>38</v>
      </c>
      <c r="I12" s="12" t="s">
        <v>2557</v>
      </c>
      <c r="J12" t="s">
        <v>2552</v>
      </c>
      <c r="K12" t="s">
        <v>2558</v>
      </c>
    </row>
    <row r="13" spans="1:11" x14ac:dyDescent="0.3">
      <c r="A13" s="14" t="s">
        <v>67</v>
      </c>
      <c r="B13">
        <v>32</v>
      </c>
      <c r="C13">
        <v>32</v>
      </c>
      <c r="I13" s="14" t="s">
        <v>2568</v>
      </c>
      <c r="J13">
        <v>6272</v>
      </c>
      <c r="K13">
        <v>5622</v>
      </c>
    </row>
    <row r="14" spans="1:11" x14ac:dyDescent="0.3">
      <c r="A14" s="14" t="s">
        <v>26</v>
      </c>
      <c r="B14">
        <v>28</v>
      </c>
      <c r="C14">
        <v>28</v>
      </c>
      <c r="I14" s="14" t="s">
        <v>2554</v>
      </c>
      <c r="J14">
        <v>6272</v>
      </c>
    </row>
    <row r="15" spans="1:11" x14ac:dyDescent="0.3">
      <c r="A15" s="14" t="s">
        <v>123</v>
      </c>
      <c r="B15">
        <v>24</v>
      </c>
      <c r="C15">
        <v>24</v>
      </c>
    </row>
    <row r="16" spans="1:11" x14ac:dyDescent="0.3">
      <c r="A16" s="14" t="s">
        <v>69</v>
      </c>
      <c r="B16">
        <v>22</v>
      </c>
      <c r="C16">
        <v>22</v>
      </c>
    </row>
    <row r="17" spans="1:13" x14ac:dyDescent="0.3">
      <c r="A17" s="14" t="s">
        <v>42</v>
      </c>
      <c r="B17">
        <v>12</v>
      </c>
      <c r="C17">
        <v>12</v>
      </c>
    </row>
    <row r="18" spans="1:13" x14ac:dyDescent="0.3">
      <c r="A18" s="14" t="s">
        <v>30</v>
      </c>
      <c r="B18">
        <v>11</v>
      </c>
      <c r="C18">
        <v>11</v>
      </c>
    </row>
    <row r="19" spans="1:13" x14ac:dyDescent="0.3">
      <c r="A19" s="14" t="s">
        <v>146</v>
      </c>
      <c r="B19">
        <v>9</v>
      </c>
      <c r="C19">
        <v>9</v>
      </c>
    </row>
    <row r="20" spans="1:13" x14ac:dyDescent="0.3">
      <c r="A20" s="14" t="s">
        <v>128</v>
      </c>
      <c r="B20">
        <v>9</v>
      </c>
      <c r="C20">
        <v>9</v>
      </c>
    </row>
    <row r="21" spans="1:13" x14ac:dyDescent="0.3">
      <c r="A21" s="14" t="s">
        <v>135</v>
      </c>
      <c r="B21">
        <v>7</v>
      </c>
      <c r="C21">
        <v>7</v>
      </c>
      <c r="J21" s="12" t="s">
        <v>10</v>
      </c>
      <c r="K21" s="12" t="s">
        <v>11</v>
      </c>
      <c r="L21" t="s">
        <v>2552</v>
      </c>
      <c r="M21" t="s">
        <v>2556</v>
      </c>
    </row>
    <row r="22" spans="1:13" x14ac:dyDescent="0.3">
      <c r="A22" s="14" t="s">
        <v>81</v>
      </c>
      <c r="B22">
        <v>5</v>
      </c>
      <c r="C22">
        <v>5</v>
      </c>
      <c r="J22" t="s">
        <v>19</v>
      </c>
      <c r="K22" t="s">
        <v>115</v>
      </c>
      <c r="L22">
        <v>579</v>
      </c>
      <c r="M22">
        <v>31884.999999999996</v>
      </c>
    </row>
    <row r="23" spans="1:13" x14ac:dyDescent="0.3">
      <c r="A23" s="14" t="s">
        <v>2554</v>
      </c>
      <c r="B23">
        <v>733</v>
      </c>
      <c r="C23">
        <v>733</v>
      </c>
      <c r="J23" t="s">
        <v>19</v>
      </c>
      <c r="K23" t="s">
        <v>20</v>
      </c>
      <c r="L23">
        <v>1</v>
      </c>
      <c r="M23">
        <v>10.9</v>
      </c>
    </row>
    <row r="24" spans="1:13" x14ac:dyDescent="0.3">
      <c r="J24" t="s">
        <v>19</v>
      </c>
      <c r="K24" t="s">
        <v>641</v>
      </c>
      <c r="L24">
        <v>9</v>
      </c>
      <c r="M24">
        <v>800.3</v>
      </c>
    </row>
    <row r="25" spans="1:13" x14ac:dyDescent="0.3">
      <c r="J25" t="s">
        <v>19</v>
      </c>
      <c r="K25" t="s">
        <v>967</v>
      </c>
      <c r="L25">
        <v>35</v>
      </c>
      <c r="M25">
        <v>1062.5999999999999</v>
      </c>
    </row>
    <row r="26" spans="1:13" x14ac:dyDescent="0.3">
      <c r="J26" t="s">
        <v>19</v>
      </c>
      <c r="K26" t="s">
        <v>84</v>
      </c>
      <c r="L26">
        <v>12</v>
      </c>
      <c r="M26">
        <v>326.20000000000005</v>
      </c>
    </row>
    <row r="27" spans="1:13" x14ac:dyDescent="0.3">
      <c r="J27" t="s">
        <v>19</v>
      </c>
      <c r="K27" t="s">
        <v>1383</v>
      </c>
      <c r="L27">
        <v>4</v>
      </c>
      <c r="M27">
        <v>167.5</v>
      </c>
    </row>
    <row r="28" spans="1:13" x14ac:dyDescent="0.3">
      <c r="J28" t="s">
        <v>19</v>
      </c>
      <c r="K28" t="s">
        <v>24</v>
      </c>
      <c r="L28">
        <v>341</v>
      </c>
      <c r="M28">
        <v>16168.7</v>
      </c>
    </row>
    <row r="29" spans="1:13" x14ac:dyDescent="0.3">
      <c r="J29" t="s">
        <v>19</v>
      </c>
      <c r="K29" t="s">
        <v>2204</v>
      </c>
      <c r="L29">
        <v>13</v>
      </c>
      <c r="M29">
        <v>322.40000000000003</v>
      </c>
    </row>
    <row r="30" spans="1:13" x14ac:dyDescent="0.3">
      <c r="J30" t="s">
        <v>19</v>
      </c>
      <c r="K30" t="s">
        <v>437</v>
      </c>
      <c r="L30">
        <v>31</v>
      </c>
      <c r="M30">
        <v>2092.8000000000002</v>
      </c>
    </row>
    <row r="31" spans="1:13" x14ac:dyDescent="0.3">
      <c r="C31" s="12" t="s">
        <v>2557</v>
      </c>
      <c r="D31" t="s">
        <v>2555</v>
      </c>
      <c r="J31" t="s">
        <v>19</v>
      </c>
      <c r="K31" t="s">
        <v>28</v>
      </c>
      <c r="L31">
        <v>279</v>
      </c>
      <c r="M31">
        <v>12662.500000000002</v>
      </c>
    </row>
    <row r="32" spans="1:13" x14ac:dyDescent="0.3">
      <c r="C32" s="14">
        <v>0</v>
      </c>
      <c r="D32">
        <v>8</v>
      </c>
      <c r="J32" t="s">
        <v>19</v>
      </c>
      <c r="K32" t="s">
        <v>208</v>
      </c>
      <c r="L32">
        <v>9</v>
      </c>
      <c r="M32">
        <v>343.2</v>
      </c>
    </row>
    <row r="33" spans="3:13" x14ac:dyDescent="0.3">
      <c r="C33" s="14">
        <v>1</v>
      </c>
      <c r="D33">
        <v>42</v>
      </c>
      <c r="J33" t="s">
        <v>19</v>
      </c>
      <c r="K33" t="s">
        <v>587</v>
      </c>
      <c r="L33">
        <v>49</v>
      </c>
      <c r="M33">
        <v>2188.2999999999997</v>
      </c>
    </row>
    <row r="34" spans="3:13" x14ac:dyDescent="0.3">
      <c r="C34" s="14">
        <v>2</v>
      </c>
      <c r="D34">
        <v>28</v>
      </c>
      <c r="J34" t="s">
        <v>19</v>
      </c>
      <c r="K34" t="s">
        <v>331</v>
      </c>
      <c r="L34">
        <v>59</v>
      </c>
      <c r="M34">
        <v>2661.5999999999995</v>
      </c>
    </row>
    <row r="35" spans="3:13" x14ac:dyDescent="0.3">
      <c r="C35" s="14">
        <v>3</v>
      </c>
      <c r="D35">
        <v>14</v>
      </c>
      <c r="J35" t="s">
        <v>19</v>
      </c>
      <c r="K35" t="s">
        <v>86</v>
      </c>
      <c r="L35">
        <v>8</v>
      </c>
      <c r="M35">
        <v>887.5</v>
      </c>
    </row>
    <row r="36" spans="3:13" x14ac:dyDescent="0.3">
      <c r="C36" s="14">
        <v>4</v>
      </c>
      <c r="D36">
        <v>12</v>
      </c>
      <c r="J36" t="s">
        <v>19</v>
      </c>
      <c r="K36" t="s">
        <v>147</v>
      </c>
      <c r="L36">
        <v>222</v>
      </c>
      <c r="M36">
        <v>11354.199999999993</v>
      </c>
    </row>
    <row r="37" spans="3:13" x14ac:dyDescent="0.3">
      <c r="C37" s="14">
        <v>5</v>
      </c>
      <c r="D37">
        <v>5</v>
      </c>
      <c r="J37" t="s">
        <v>19</v>
      </c>
      <c r="K37" t="s">
        <v>334</v>
      </c>
      <c r="L37">
        <v>36</v>
      </c>
      <c r="M37">
        <v>1558.4</v>
      </c>
    </row>
    <row r="38" spans="3:13" x14ac:dyDescent="0.3">
      <c r="C38" s="14">
        <v>6</v>
      </c>
      <c r="D38">
        <v>6</v>
      </c>
      <c r="J38" t="s">
        <v>19</v>
      </c>
      <c r="K38" t="s">
        <v>949</v>
      </c>
      <c r="L38">
        <v>30</v>
      </c>
      <c r="M38">
        <v>2223.9</v>
      </c>
    </row>
    <row r="39" spans="3:13" x14ac:dyDescent="0.3">
      <c r="C39" s="14">
        <v>7</v>
      </c>
      <c r="D39">
        <v>1</v>
      </c>
      <c r="J39" t="s">
        <v>19</v>
      </c>
      <c r="K39" t="s">
        <v>1426</v>
      </c>
      <c r="L39">
        <v>1</v>
      </c>
      <c r="M39">
        <v>26.2</v>
      </c>
    </row>
    <row r="40" spans="3:13" x14ac:dyDescent="0.3">
      <c r="C40" s="14">
        <v>8</v>
      </c>
      <c r="D40">
        <v>2</v>
      </c>
      <c r="J40" t="s">
        <v>19</v>
      </c>
      <c r="K40" t="s">
        <v>33</v>
      </c>
      <c r="L40">
        <v>3991</v>
      </c>
      <c r="M40">
        <v>215551.19999999981</v>
      </c>
    </row>
    <row r="41" spans="3:13" x14ac:dyDescent="0.3">
      <c r="C41" s="14">
        <v>13</v>
      </c>
      <c r="D41">
        <v>1</v>
      </c>
      <c r="J41" t="s">
        <v>19</v>
      </c>
      <c r="K41" t="s">
        <v>364</v>
      </c>
      <c r="L41">
        <v>45</v>
      </c>
      <c r="M41">
        <v>2687.3999999999996</v>
      </c>
    </row>
    <row r="42" spans="3:13" x14ac:dyDescent="0.3">
      <c r="C42" s="14" t="s">
        <v>2554</v>
      </c>
      <c r="D42">
        <v>119</v>
      </c>
      <c r="J42" t="s">
        <v>19</v>
      </c>
      <c r="K42" t="s">
        <v>545</v>
      </c>
      <c r="L42">
        <v>39</v>
      </c>
      <c r="M42">
        <v>1463.3000000000002</v>
      </c>
    </row>
    <row r="43" spans="3:13" x14ac:dyDescent="0.3">
      <c r="J43" t="s">
        <v>19</v>
      </c>
      <c r="K43" t="s">
        <v>416</v>
      </c>
      <c r="L43">
        <v>6</v>
      </c>
      <c r="M43">
        <v>445.79999999999995</v>
      </c>
    </row>
    <row r="44" spans="3:13" x14ac:dyDescent="0.3">
      <c r="J44" t="s">
        <v>19</v>
      </c>
      <c r="K44" t="s">
        <v>258</v>
      </c>
      <c r="L44">
        <v>9</v>
      </c>
      <c r="M44">
        <v>273.59999999999997</v>
      </c>
    </row>
    <row r="45" spans="3:13" x14ac:dyDescent="0.3">
      <c r="J45" t="s">
        <v>19</v>
      </c>
      <c r="K45" t="s">
        <v>186</v>
      </c>
      <c r="L45">
        <v>60</v>
      </c>
      <c r="M45">
        <v>2690.4</v>
      </c>
    </row>
    <row r="46" spans="3:13" x14ac:dyDescent="0.3">
      <c r="J46" t="s">
        <v>19</v>
      </c>
      <c r="K46" t="s">
        <v>392</v>
      </c>
      <c r="L46">
        <v>2</v>
      </c>
      <c r="M46">
        <v>28.4</v>
      </c>
    </row>
    <row r="47" spans="3:13" x14ac:dyDescent="0.3">
      <c r="J47" t="s">
        <v>19</v>
      </c>
      <c r="K47" t="s">
        <v>670</v>
      </c>
      <c r="L47">
        <v>4</v>
      </c>
      <c r="M47">
        <v>204.8</v>
      </c>
    </row>
    <row r="48" spans="3:13" x14ac:dyDescent="0.3">
      <c r="J48" t="s">
        <v>19</v>
      </c>
      <c r="K48" t="s">
        <v>802</v>
      </c>
      <c r="L48">
        <v>31</v>
      </c>
      <c r="M48">
        <v>1607.8999999999999</v>
      </c>
    </row>
    <row r="49" spans="10:13" x14ac:dyDescent="0.3">
      <c r="J49" t="s">
        <v>19</v>
      </c>
      <c r="K49" t="s">
        <v>98</v>
      </c>
      <c r="L49">
        <v>88</v>
      </c>
      <c r="M49">
        <v>6444.9</v>
      </c>
    </row>
    <row r="50" spans="10:13" x14ac:dyDescent="0.3">
      <c r="J50" t="s">
        <v>19</v>
      </c>
      <c r="K50" t="s">
        <v>49</v>
      </c>
      <c r="L50">
        <v>25</v>
      </c>
      <c r="M50">
        <v>1809.3</v>
      </c>
    </row>
    <row r="51" spans="10:13" x14ac:dyDescent="0.3">
      <c r="J51" t="s">
        <v>19</v>
      </c>
      <c r="K51" t="s">
        <v>188</v>
      </c>
      <c r="L51">
        <v>178</v>
      </c>
      <c r="M51">
        <v>9680.399999999996</v>
      </c>
    </row>
    <row r="52" spans="10:13" x14ac:dyDescent="0.3">
      <c r="J52" t="s">
        <v>19</v>
      </c>
      <c r="K52" t="s">
        <v>52</v>
      </c>
      <c r="L52">
        <v>141</v>
      </c>
      <c r="M52">
        <v>9414.7999999999993</v>
      </c>
    </row>
    <row r="53" spans="10:13" x14ac:dyDescent="0.3">
      <c r="J53" t="s">
        <v>19</v>
      </c>
      <c r="K53" t="s">
        <v>338</v>
      </c>
      <c r="L53">
        <v>6</v>
      </c>
      <c r="M53">
        <v>206.1</v>
      </c>
    </row>
    <row r="54" spans="10:13" x14ac:dyDescent="0.3">
      <c r="J54" t="s">
        <v>19</v>
      </c>
      <c r="K54" t="s">
        <v>158</v>
      </c>
      <c r="L54">
        <v>178</v>
      </c>
      <c r="M54">
        <v>7691.3</v>
      </c>
    </row>
    <row r="55" spans="10:13" x14ac:dyDescent="0.3">
      <c r="J55" t="s">
        <v>19</v>
      </c>
      <c r="K55" t="s">
        <v>55</v>
      </c>
      <c r="L55">
        <v>699</v>
      </c>
      <c r="M55">
        <v>37784.900000000016</v>
      </c>
    </row>
    <row r="56" spans="10:13" x14ac:dyDescent="0.3">
      <c r="J56" t="s">
        <v>19</v>
      </c>
      <c r="K56" t="s">
        <v>342</v>
      </c>
      <c r="L56">
        <v>23</v>
      </c>
      <c r="M56">
        <v>1129.7</v>
      </c>
    </row>
    <row r="57" spans="10:13" x14ac:dyDescent="0.3">
      <c r="J57" t="s">
        <v>19</v>
      </c>
      <c r="K57" t="s">
        <v>59</v>
      </c>
      <c r="L57">
        <v>356</v>
      </c>
      <c r="M57">
        <v>20988.9</v>
      </c>
    </row>
    <row r="58" spans="10:13" x14ac:dyDescent="0.3">
      <c r="J58" t="s">
        <v>19</v>
      </c>
      <c r="K58" t="s">
        <v>62</v>
      </c>
      <c r="L58">
        <v>1768</v>
      </c>
      <c r="M58">
        <v>98367.099999999977</v>
      </c>
    </row>
    <row r="59" spans="10:13" x14ac:dyDescent="0.3">
      <c r="J59" t="s">
        <v>19</v>
      </c>
      <c r="K59" t="s">
        <v>103</v>
      </c>
      <c r="L59">
        <v>307</v>
      </c>
      <c r="M59">
        <v>21911.9</v>
      </c>
    </row>
    <row r="60" spans="10:13" x14ac:dyDescent="0.3">
      <c r="J60" t="s">
        <v>19</v>
      </c>
      <c r="K60" t="s">
        <v>201</v>
      </c>
      <c r="L60">
        <v>117</v>
      </c>
      <c r="M60">
        <v>5441.2</v>
      </c>
    </row>
    <row r="61" spans="10:13" x14ac:dyDescent="0.3">
      <c r="J61" t="s">
        <v>19</v>
      </c>
      <c r="K61" t="s">
        <v>429</v>
      </c>
      <c r="L61">
        <v>13</v>
      </c>
      <c r="M61">
        <v>392.8</v>
      </c>
    </row>
    <row r="62" spans="10:13" x14ac:dyDescent="0.3">
      <c r="J62" t="s">
        <v>19</v>
      </c>
      <c r="K62" t="s">
        <v>72</v>
      </c>
      <c r="L62">
        <v>364</v>
      </c>
      <c r="M62">
        <v>16172.000000000005</v>
      </c>
    </row>
    <row r="63" spans="10:13" x14ac:dyDescent="0.3">
      <c r="J63" t="s">
        <v>19</v>
      </c>
      <c r="K63" t="s">
        <v>74</v>
      </c>
      <c r="L63">
        <v>95</v>
      </c>
      <c r="M63">
        <v>4334.9999999999991</v>
      </c>
    </row>
    <row r="64" spans="10:13" x14ac:dyDescent="0.3">
      <c r="J64" t="s">
        <v>19</v>
      </c>
      <c r="K64" t="s">
        <v>77</v>
      </c>
      <c r="L64">
        <v>737</v>
      </c>
      <c r="M64">
        <v>37449.000000000007</v>
      </c>
    </row>
    <row r="65" spans="10:24" x14ac:dyDescent="0.3">
      <c r="J65" t="s">
        <v>19</v>
      </c>
      <c r="K65" t="s">
        <v>309</v>
      </c>
      <c r="L65">
        <v>39</v>
      </c>
      <c r="M65">
        <v>2447.5</v>
      </c>
    </row>
    <row r="66" spans="10:24" x14ac:dyDescent="0.3">
      <c r="J66" t="s">
        <v>19</v>
      </c>
      <c r="K66" t="s">
        <v>1116</v>
      </c>
      <c r="L66">
        <v>56</v>
      </c>
      <c r="M66">
        <v>3391.1</v>
      </c>
    </row>
    <row r="67" spans="10:24" x14ac:dyDescent="0.3">
      <c r="J67" t="s">
        <v>19</v>
      </c>
      <c r="K67" t="s">
        <v>700</v>
      </c>
      <c r="L67">
        <v>2</v>
      </c>
      <c r="M67">
        <v>30.8</v>
      </c>
    </row>
    <row r="68" spans="10:24" x14ac:dyDescent="0.3">
      <c r="J68" t="s">
        <v>19</v>
      </c>
      <c r="K68" t="s">
        <v>268</v>
      </c>
      <c r="L68">
        <v>8</v>
      </c>
      <c r="M68">
        <v>332.3</v>
      </c>
    </row>
    <row r="69" spans="10:24" x14ac:dyDescent="0.3">
      <c r="J69" t="s">
        <v>19</v>
      </c>
      <c r="K69" t="s">
        <v>377</v>
      </c>
      <c r="L69">
        <v>52</v>
      </c>
      <c r="M69">
        <v>3175.9999999999995</v>
      </c>
    </row>
    <row r="70" spans="10:24" x14ac:dyDescent="0.3">
      <c r="J70" t="s">
        <v>19</v>
      </c>
      <c r="K70" t="s">
        <v>108</v>
      </c>
      <c r="L70">
        <v>295</v>
      </c>
      <c r="M70">
        <v>20939.600000000002</v>
      </c>
      <c r="P70" t="s">
        <v>2574</v>
      </c>
      <c r="Q70" t="s">
        <v>2575</v>
      </c>
      <c r="R70" t="s">
        <v>2576</v>
      </c>
      <c r="U70" t="s">
        <v>2574</v>
      </c>
      <c r="V70" t="s">
        <v>2575</v>
      </c>
      <c r="X70" t="s">
        <v>2577</v>
      </c>
    </row>
    <row r="71" spans="10:24" x14ac:dyDescent="0.3">
      <c r="J71" t="s">
        <v>19</v>
      </c>
      <c r="K71" t="s">
        <v>110</v>
      </c>
      <c r="L71">
        <v>195</v>
      </c>
      <c r="M71">
        <v>10185.899999999996</v>
      </c>
      <c r="P71" s="23" t="s">
        <v>19</v>
      </c>
      <c r="Q71" t="s">
        <v>115</v>
      </c>
      <c r="R71">
        <v>579</v>
      </c>
      <c r="U71" s="23" t="s">
        <v>19</v>
      </c>
      <c r="V71" t="s">
        <v>115</v>
      </c>
      <c r="X71">
        <v>31884.999999999996</v>
      </c>
    </row>
    <row r="72" spans="10:24" x14ac:dyDescent="0.3">
      <c r="J72" t="s">
        <v>19</v>
      </c>
      <c r="K72" t="s">
        <v>292</v>
      </c>
      <c r="L72">
        <v>20</v>
      </c>
      <c r="M72">
        <v>958.7</v>
      </c>
      <c r="P72" s="23" t="s">
        <v>19</v>
      </c>
      <c r="Q72" t="s">
        <v>20</v>
      </c>
      <c r="R72">
        <v>1</v>
      </c>
      <c r="U72" s="23" t="s">
        <v>19</v>
      </c>
      <c r="V72" t="s">
        <v>20</v>
      </c>
      <c r="X72">
        <v>10.9</v>
      </c>
    </row>
    <row r="73" spans="10:24" x14ac:dyDescent="0.3">
      <c r="J73" t="s">
        <v>19</v>
      </c>
      <c r="K73" t="s">
        <v>79</v>
      </c>
      <c r="L73">
        <v>6</v>
      </c>
      <c r="M73">
        <v>323</v>
      </c>
      <c r="P73" s="23" t="s">
        <v>19</v>
      </c>
      <c r="Q73" t="s">
        <v>641</v>
      </c>
      <c r="R73">
        <v>9</v>
      </c>
      <c r="U73" s="23" t="s">
        <v>19</v>
      </c>
      <c r="V73" t="s">
        <v>641</v>
      </c>
      <c r="X73">
        <v>800.3</v>
      </c>
    </row>
    <row r="74" spans="10:24" x14ac:dyDescent="0.3">
      <c r="J74" t="s">
        <v>19</v>
      </c>
      <c r="K74" t="s">
        <v>608</v>
      </c>
      <c r="L74">
        <v>5</v>
      </c>
      <c r="M74">
        <v>167.70000000000002</v>
      </c>
      <c r="P74" s="23" t="s">
        <v>19</v>
      </c>
      <c r="Q74" t="s">
        <v>967</v>
      </c>
      <c r="R74">
        <v>35</v>
      </c>
      <c r="U74" s="23" t="s">
        <v>19</v>
      </c>
      <c r="V74" t="s">
        <v>967</v>
      </c>
      <c r="X74">
        <v>1062.5999999999999</v>
      </c>
    </row>
    <row r="75" spans="10:24" x14ac:dyDescent="0.3">
      <c r="J75" t="s">
        <v>19</v>
      </c>
      <c r="K75" t="s">
        <v>113</v>
      </c>
      <c r="L75">
        <v>94</v>
      </c>
      <c r="M75">
        <v>3978.5</v>
      </c>
      <c r="P75" s="23" t="s">
        <v>19</v>
      </c>
      <c r="Q75" t="s">
        <v>84</v>
      </c>
      <c r="R75">
        <v>12</v>
      </c>
      <c r="U75" s="23" t="s">
        <v>19</v>
      </c>
      <c r="V75" t="s">
        <v>84</v>
      </c>
      <c r="X75">
        <v>326.20000000000005</v>
      </c>
    </row>
    <row r="76" spans="10:24" x14ac:dyDescent="0.3">
      <c r="J76" t="s">
        <v>19</v>
      </c>
      <c r="K76" t="s">
        <v>997</v>
      </c>
      <c r="L76">
        <v>28</v>
      </c>
      <c r="M76">
        <v>1405</v>
      </c>
      <c r="P76" s="23" t="s">
        <v>19</v>
      </c>
      <c r="Q76" t="s">
        <v>1383</v>
      </c>
      <c r="R76">
        <v>4</v>
      </c>
      <c r="U76" s="23" t="s">
        <v>19</v>
      </c>
      <c r="V76" t="s">
        <v>1383</v>
      </c>
      <c r="X76">
        <v>167.5</v>
      </c>
    </row>
    <row r="77" spans="10:24" x14ac:dyDescent="0.3">
      <c r="J77" t="s">
        <v>19</v>
      </c>
      <c r="K77" t="s">
        <v>82</v>
      </c>
      <c r="L77">
        <v>179</v>
      </c>
      <c r="M77">
        <v>9869.0999999999985</v>
      </c>
      <c r="P77" s="23" t="s">
        <v>19</v>
      </c>
      <c r="Q77" t="s">
        <v>24</v>
      </c>
      <c r="R77">
        <v>341</v>
      </c>
      <c r="U77" s="23" t="s">
        <v>19</v>
      </c>
      <c r="V77" t="s">
        <v>24</v>
      </c>
      <c r="X77">
        <v>16168.7</v>
      </c>
    </row>
    <row r="78" spans="10:24" x14ac:dyDescent="0.3">
      <c r="J78" t="s">
        <v>19</v>
      </c>
      <c r="K78" t="s">
        <v>243</v>
      </c>
      <c r="L78">
        <v>15</v>
      </c>
      <c r="M78">
        <v>615.29999999999995</v>
      </c>
      <c r="P78" s="23" t="s">
        <v>19</v>
      </c>
      <c r="Q78" t="s">
        <v>2204</v>
      </c>
      <c r="R78">
        <v>13</v>
      </c>
      <c r="U78" s="23" t="s">
        <v>19</v>
      </c>
      <c r="V78" t="s">
        <v>2204</v>
      </c>
      <c r="X78">
        <v>322.40000000000003</v>
      </c>
    </row>
    <row r="79" spans="10:24" x14ac:dyDescent="0.3">
      <c r="J79" t="s">
        <v>19</v>
      </c>
      <c r="K79" t="s">
        <v>1911</v>
      </c>
      <c r="L79">
        <v>3</v>
      </c>
      <c r="M79">
        <v>285</v>
      </c>
      <c r="P79" s="23" t="s">
        <v>19</v>
      </c>
      <c r="Q79" t="s">
        <v>437</v>
      </c>
      <c r="R79">
        <v>31</v>
      </c>
      <c r="U79" s="23" t="s">
        <v>19</v>
      </c>
      <c r="V79" t="s">
        <v>437</v>
      </c>
      <c r="X79">
        <v>2092.8000000000002</v>
      </c>
    </row>
    <row r="80" spans="10:24" x14ac:dyDescent="0.3">
      <c r="J80" t="s">
        <v>2554</v>
      </c>
      <c r="L80">
        <v>11997</v>
      </c>
      <c r="M80">
        <v>649019.79999999981</v>
      </c>
      <c r="P80" s="23" t="s">
        <v>19</v>
      </c>
      <c r="Q80" t="s">
        <v>28</v>
      </c>
      <c r="R80">
        <v>279</v>
      </c>
      <c r="U80" s="23" t="s">
        <v>19</v>
      </c>
      <c r="V80" t="s">
        <v>28</v>
      </c>
      <c r="X80">
        <v>12662.500000000002</v>
      </c>
    </row>
    <row r="81" spans="16:24" x14ac:dyDescent="0.3">
      <c r="P81" s="23" t="s">
        <v>19</v>
      </c>
      <c r="Q81" t="s">
        <v>208</v>
      </c>
      <c r="R81">
        <v>9</v>
      </c>
      <c r="U81" s="23" t="s">
        <v>19</v>
      </c>
      <c r="V81" t="s">
        <v>208</v>
      </c>
      <c r="X81">
        <v>343.2</v>
      </c>
    </row>
    <row r="82" spans="16:24" x14ac:dyDescent="0.3">
      <c r="P82" s="23" t="s">
        <v>19</v>
      </c>
      <c r="Q82" t="s">
        <v>587</v>
      </c>
      <c r="R82">
        <v>49</v>
      </c>
      <c r="U82" s="23" t="s">
        <v>19</v>
      </c>
      <c r="V82" t="s">
        <v>587</v>
      </c>
      <c r="X82">
        <v>2188.2999999999997</v>
      </c>
    </row>
    <row r="83" spans="16:24" x14ac:dyDescent="0.3">
      <c r="P83" s="23" t="s">
        <v>19</v>
      </c>
      <c r="Q83" t="s">
        <v>331</v>
      </c>
      <c r="R83">
        <v>59</v>
      </c>
      <c r="U83" s="23" t="s">
        <v>19</v>
      </c>
      <c r="V83" t="s">
        <v>331</v>
      </c>
      <c r="X83">
        <v>2661.5999999999995</v>
      </c>
    </row>
    <row r="84" spans="16:24" x14ac:dyDescent="0.3">
      <c r="P84" s="23" t="s">
        <v>19</v>
      </c>
      <c r="Q84" t="s">
        <v>86</v>
      </c>
      <c r="R84">
        <v>8</v>
      </c>
      <c r="U84" s="23" t="s">
        <v>19</v>
      </c>
      <c r="V84" t="s">
        <v>86</v>
      </c>
      <c r="X84">
        <v>887.5</v>
      </c>
    </row>
    <row r="85" spans="16:24" x14ac:dyDescent="0.3">
      <c r="P85" s="23" t="s">
        <v>19</v>
      </c>
      <c r="Q85" t="s">
        <v>147</v>
      </c>
      <c r="R85">
        <v>222</v>
      </c>
      <c r="U85" s="23" t="s">
        <v>19</v>
      </c>
      <c r="V85" t="s">
        <v>147</v>
      </c>
      <c r="X85">
        <v>11354.199999999993</v>
      </c>
    </row>
    <row r="86" spans="16:24" x14ac:dyDescent="0.3">
      <c r="P86" s="23" t="s">
        <v>19</v>
      </c>
      <c r="Q86" t="s">
        <v>334</v>
      </c>
      <c r="R86">
        <v>36</v>
      </c>
      <c r="U86" s="23" t="s">
        <v>19</v>
      </c>
      <c r="V86" t="s">
        <v>334</v>
      </c>
      <c r="X86">
        <v>1558.4</v>
      </c>
    </row>
    <row r="87" spans="16:24" x14ac:dyDescent="0.3">
      <c r="P87" s="23" t="s">
        <v>19</v>
      </c>
      <c r="Q87" t="s">
        <v>949</v>
      </c>
      <c r="R87">
        <v>30</v>
      </c>
      <c r="U87" s="23" t="s">
        <v>19</v>
      </c>
      <c r="V87" t="s">
        <v>949</v>
      </c>
      <c r="X87">
        <v>2223.9</v>
      </c>
    </row>
    <row r="88" spans="16:24" x14ac:dyDescent="0.3">
      <c r="P88" s="23" t="s">
        <v>19</v>
      </c>
      <c r="Q88" t="s">
        <v>1426</v>
      </c>
      <c r="R88">
        <v>1</v>
      </c>
      <c r="U88" s="23" t="s">
        <v>19</v>
      </c>
      <c r="V88" t="s">
        <v>1426</v>
      </c>
      <c r="X88">
        <v>26.2</v>
      </c>
    </row>
    <row r="89" spans="16:24" x14ac:dyDescent="0.3">
      <c r="P89" s="23" t="s">
        <v>19</v>
      </c>
      <c r="Q89" t="s">
        <v>33</v>
      </c>
      <c r="R89">
        <v>3991</v>
      </c>
      <c r="U89" s="23" t="s">
        <v>19</v>
      </c>
      <c r="V89" t="s">
        <v>33</v>
      </c>
      <c r="X89">
        <v>215551.19999999981</v>
      </c>
    </row>
    <row r="90" spans="16:24" x14ac:dyDescent="0.3">
      <c r="P90" s="23" t="s">
        <v>19</v>
      </c>
      <c r="Q90" t="s">
        <v>364</v>
      </c>
      <c r="R90">
        <v>45</v>
      </c>
      <c r="U90" s="23" t="s">
        <v>19</v>
      </c>
      <c r="V90" t="s">
        <v>364</v>
      </c>
      <c r="X90">
        <v>2687.3999999999996</v>
      </c>
    </row>
    <row r="91" spans="16:24" x14ac:dyDescent="0.3">
      <c r="P91" s="23" t="s">
        <v>19</v>
      </c>
      <c r="Q91" t="s">
        <v>545</v>
      </c>
      <c r="R91">
        <v>39</v>
      </c>
      <c r="U91" s="23" t="s">
        <v>19</v>
      </c>
      <c r="V91" t="s">
        <v>545</v>
      </c>
      <c r="X91">
        <v>1463.3000000000002</v>
      </c>
    </row>
    <row r="92" spans="16:24" x14ac:dyDescent="0.3">
      <c r="P92" s="23" t="s">
        <v>19</v>
      </c>
      <c r="Q92" t="s">
        <v>416</v>
      </c>
      <c r="R92">
        <v>6</v>
      </c>
      <c r="U92" s="23" t="s">
        <v>19</v>
      </c>
      <c r="V92" t="s">
        <v>416</v>
      </c>
      <c r="X92">
        <v>445.79999999999995</v>
      </c>
    </row>
    <row r="93" spans="16:24" x14ac:dyDescent="0.3">
      <c r="P93" s="23" t="s">
        <v>19</v>
      </c>
      <c r="Q93" t="s">
        <v>258</v>
      </c>
      <c r="R93">
        <v>9</v>
      </c>
      <c r="U93" s="23" t="s">
        <v>19</v>
      </c>
      <c r="V93" t="s">
        <v>258</v>
      </c>
      <c r="X93">
        <v>273.59999999999997</v>
      </c>
    </row>
    <row r="94" spans="16:24" x14ac:dyDescent="0.3">
      <c r="P94" s="23" t="s">
        <v>19</v>
      </c>
      <c r="Q94" t="s">
        <v>186</v>
      </c>
      <c r="R94">
        <v>60</v>
      </c>
      <c r="U94" s="23" t="s">
        <v>19</v>
      </c>
      <c r="V94" t="s">
        <v>186</v>
      </c>
      <c r="X94">
        <v>2690.4</v>
      </c>
    </row>
    <row r="95" spans="16:24" x14ac:dyDescent="0.3">
      <c r="P95" s="23" t="s">
        <v>19</v>
      </c>
      <c r="Q95" t="s">
        <v>392</v>
      </c>
      <c r="R95">
        <v>2</v>
      </c>
      <c r="U95" s="23" t="s">
        <v>19</v>
      </c>
      <c r="V95" t="s">
        <v>392</v>
      </c>
      <c r="X95">
        <v>28.4</v>
      </c>
    </row>
    <row r="96" spans="16:24" x14ac:dyDescent="0.3">
      <c r="P96" s="23" t="s">
        <v>19</v>
      </c>
      <c r="Q96" t="s">
        <v>670</v>
      </c>
      <c r="R96">
        <v>4</v>
      </c>
      <c r="U96" s="23" t="s">
        <v>19</v>
      </c>
      <c r="V96" t="s">
        <v>670</v>
      </c>
      <c r="X96">
        <v>204.8</v>
      </c>
    </row>
    <row r="97" spans="16:24" x14ac:dyDescent="0.3">
      <c r="P97" s="23" t="s">
        <v>19</v>
      </c>
      <c r="Q97" t="s">
        <v>802</v>
      </c>
      <c r="R97">
        <v>31</v>
      </c>
      <c r="U97" s="23" t="s">
        <v>19</v>
      </c>
      <c r="V97" t="s">
        <v>802</v>
      </c>
      <c r="X97">
        <v>1607.8999999999999</v>
      </c>
    </row>
    <row r="98" spans="16:24" x14ac:dyDescent="0.3">
      <c r="P98" s="23" t="s">
        <v>19</v>
      </c>
      <c r="Q98" t="s">
        <v>98</v>
      </c>
      <c r="R98">
        <v>88</v>
      </c>
      <c r="U98" s="23" t="s">
        <v>19</v>
      </c>
      <c r="V98" t="s">
        <v>98</v>
      </c>
      <c r="X98">
        <v>6444.9</v>
      </c>
    </row>
    <row r="99" spans="16:24" x14ac:dyDescent="0.3">
      <c r="P99" s="23" t="s">
        <v>19</v>
      </c>
      <c r="Q99" t="s">
        <v>49</v>
      </c>
      <c r="R99">
        <v>25</v>
      </c>
      <c r="U99" s="23" t="s">
        <v>19</v>
      </c>
      <c r="V99" t="s">
        <v>49</v>
      </c>
      <c r="X99">
        <v>1809.3</v>
      </c>
    </row>
    <row r="100" spans="16:24" x14ac:dyDescent="0.3">
      <c r="P100" s="23" t="s">
        <v>19</v>
      </c>
      <c r="Q100" t="s">
        <v>188</v>
      </c>
      <c r="R100">
        <v>178</v>
      </c>
      <c r="U100" s="23" t="s">
        <v>19</v>
      </c>
      <c r="V100" t="s">
        <v>188</v>
      </c>
      <c r="X100">
        <v>9680.399999999996</v>
      </c>
    </row>
    <row r="101" spans="16:24" x14ac:dyDescent="0.3">
      <c r="P101" s="23" t="s">
        <v>19</v>
      </c>
      <c r="Q101" t="s">
        <v>52</v>
      </c>
      <c r="R101">
        <v>141</v>
      </c>
      <c r="U101" s="23" t="s">
        <v>19</v>
      </c>
      <c r="V101" t="s">
        <v>52</v>
      </c>
      <c r="X101">
        <v>9414.7999999999993</v>
      </c>
    </row>
    <row r="102" spans="16:24" x14ac:dyDescent="0.3">
      <c r="P102" s="23" t="s">
        <v>19</v>
      </c>
      <c r="Q102" t="s">
        <v>338</v>
      </c>
      <c r="R102">
        <v>6</v>
      </c>
      <c r="U102" s="23" t="s">
        <v>19</v>
      </c>
      <c r="V102" t="s">
        <v>338</v>
      </c>
      <c r="X102">
        <v>206.1</v>
      </c>
    </row>
    <row r="103" spans="16:24" x14ac:dyDescent="0.3">
      <c r="P103" s="23" t="s">
        <v>19</v>
      </c>
      <c r="Q103" t="s">
        <v>158</v>
      </c>
      <c r="R103">
        <v>178</v>
      </c>
      <c r="U103" s="23" t="s">
        <v>19</v>
      </c>
      <c r="V103" t="s">
        <v>158</v>
      </c>
      <c r="X103">
        <v>7691.3</v>
      </c>
    </row>
    <row r="104" spans="16:24" x14ac:dyDescent="0.3">
      <c r="P104" s="23" t="s">
        <v>19</v>
      </c>
      <c r="Q104" t="s">
        <v>55</v>
      </c>
      <c r="R104">
        <v>699</v>
      </c>
      <c r="U104" s="23" t="s">
        <v>19</v>
      </c>
      <c r="V104" t="s">
        <v>55</v>
      </c>
      <c r="X104">
        <v>37784.900000000016</v>
      </c>
    </row>
    <row r="105" spans="16:24" x14ac:dyDescent="0.3">
      <c r="P105" s="23" t="s">
        <v>19</v>
      </c>
      <c r="Q105" t="s">
        <v>342</v>
      </c>
      <c r="R105">
        <v>23</v>
      </c>
      <c r="U105" s="23" t="s">
        <v>19</v>
      </c>
      <c r="V105" t="s">
        <v>342</v>
      </c>
      <c r="X105">
        <v>1129.7</v>
      </c>
    </row>
    <row r="106" spans="16:24" x14ac:dyDescent="0.3">
      <c r="P106" s="23" t="s">
        <v>19</v>
      </c>
      <c r="Q106" t="s">
        <v>59</v>
      </c>
      <c r="R106">
        <v>356</v>
      </c>
      <c r="U106" s="23" t="s">
        <v>19</v>
      </c>
      <c r="V106" t="s">
        <v>59</v>
      </c>
      <c r="X106">
        <v>20988.9</v>
      </c>
    </row>
    <row r="107" spans="16:24" x14ac:dyDescent="0.3">
      <c r="P107" s="23" t="s">
        <v>19</v>
      </c>
      <c r="Q107" t="s">
        <v>62</v>
      </c>
      <c r="R107">
        <v>1768</v>
      </c>
      <c r="U107" s="23" t="s">
        <v>19</v>
      </c>
      <c r="V107" t="s">
        <v>62</v>
      </c>
      <c r="X107">
        <v>98367.099999999977</v>
      </c>
    </row>
    <row r="108" spans="16:24" x14ac:dyDescent="0.3">
      <c r="P108" s="23" t="s">
        <v>19</v>
      </c>
      <c r="Q108" t="s">
        <v>103</v>
      </c>
      <c r="R108">
        <v>307</v>
      </c>
      <c r="U108" s="23" t="s">
        <v>19</v>
      </c>
      <c r="V108" t="s">
        <v>103</v>
      </c>
      <c r="X108">
        <v>21911.9</v>
      </c>
    </row>
    <row r="109" spans="16:24" x14ac:dyDescent="0.3">
      <c r="P109" s="23" t="s">
        <v>19</v>
      </c>
      <c r="Q109" t="s">
        <v>201</v>
      </c>
      <c r="R109">
        <v>117</v>
      </c>
      <c r="U109" s="23" t="s">
        <v>19</v>
      </c>
      <c r="V109" t="s">
        <v>201</v>
      </c>
      <c r="X109">
        <v>5441.2</v>
      </c>
    </row>
    <row r="110" spans="16:24" x14ac:dyDescent="0.3">
      <c r="P110" s="23" t="s">
        <v>19</v>
      </c>
      <c r="Q110" t="s">
        <v>429</v>
      </c>
      <c r="R110">
        <v>13</v>
      </c>
      <c r="U110" s="23" t="s">
        <v>19</v>
      </c>
      <c r="V110" t="s">
        <v>429</v>
      </c>
      <c r="X110">
        <v>392.8</v>
      </c>
    </row>
    <row r="111" spans="16:24" x14ac:dyDescent="0.3">
      <c r="P111" s="23" t="s">
        <v>19</v>
      </c>
      <c r="Q111" t="s">
        <v>72</v>
      </c>
      <c r="R111">
        <v>364</v>
      </c>
      <c r="U111" s="23" t="s">
        <v>19</v>
      </c>
      <c r="V111" t="s">
        <v>72</v>
      </c>
      <c r="X111">
        <v>16172.000000000005</v>
      </c>
    </row>
    <row r="112" spans="16:24" x14ac:dyDescent="0.3">
      <c r="P112" s="23" t="s">
        <v>19</v>
      </c>
      <c r="Q112" t="s">
        <v>74</v>
      </c>
      <c r="R112">
        <v>95</v>
      </c>
      <c r="U112" s="23" t="s">
        <v>19</v>
      </c>
      <c r="V112" t="s">
        <v>74</v>
      </c>
      <c r="X112">
        <v>4334.9999999999991</v>
      </c>
    </row>
    <row r="113" spans="16:24" x14ac:dyDescent="0.3">
      <c r="P113" s="23" t="s">
        <v>19</v>
      </c>
      <c r="Q113" t="s">
        <v>77</v>
      </c>
      <c r="R113">
        <v>737</v>
      </c>
      <c r="U113" s="23" t="s">
        <v>19</v>
      </c>
      <c r="V113" t="s">
        <v>77</v>
      </c>
      <c r="X113">
        <v>37449.000000000007</v>
      </c>
    </row>
    <row r="114" spans="16:24" x14ac:dyDescent="0.3">
      <c r="P114" s="23" t="s">
        <v>19</v>
      </c>
      <c r="Q114" t="s">
        <v>309</v>
      </c>
      <c r="R114">
        <v>39</v>
      </c>
      <c r="U114" s="23" t="s">
        <v>19</v>
      </c>
      <c r="V114" t="s">
        <v>309</v>
      </c>
      <c r="X114">
        <v>2447.5</v>
      </c>
    </row>
    <row r="115" spans="16:24" x14ac:dyDescent="0.3">
      <c r="P115" s="23" t="s">
        <v>19</v>
      </c>
      <c r="Q115" t="s">
        <v>1116</v>
      </c>
      <c r="R115">
        <v>56</v>
      </c>
      <c r="U115" s="23" t="s">
        <v>19</v>
      </c>
      <c r="V115" t="s">
        <v>1116</v>
      </c>
      <c r="X115">
        <v>3391.1</v>
      </c>
    </row>
    <row r="116" spans="16:24" x14ac:dyDescent="0.3">
      <c r="P116" s="23" t="s">
        <v>19</v>
      </c>
      <c r="Q116" t="s">
        <v>700</v>
      </c>
      <c r="R116">
        <v>2</v>
      </c>
      <c r="U116" s="23" t="s">
        <v>19</v>
      </c>
      <c r="V116" t="s">
        <v>700</v>
      </c>
      <c r="X116">
        <v>30.8</v>
      </c>
    </row>
    <row r="117" spans="16:24" x14ac:dyDescent="0.3">
      <c r="P117" s="23" t="s">
        <v>19</v>
      </c>
      <c r="Q117" t="s">
        <v>268</v>
      </c>
      <c r="R117">
        <v>8</v>
      </c>
      <c r="U117" s="23" t="s">
        <v>19</v>
      </c>
      <c r="V117" t="s">
        <v>268</v>
      </c>
      <c r="X117">
        <v>332.3</v>
      </c>
    </row>
    <row r="118" spans="16:24" x14ac:dyDescent="0.3">
      <c r="P118" s="23" t="s">
        <v>19</v>
      </c>
      <c r="Q118" t="s">
        <v>377</v>
      </c>
      <c r="R118">
        <v>52</v>
      </c>
      <c r="U118" s="23" t="s">
        <v>19</v>
      </c>
      <c r="V118" t="s">
        <v>377</v>
      </c>
      <c r="X118">
        <v>3175.9999999999995</v>
      </c>
    </row>
    <row r="119" spans="16:24" x14ac:dyDescent="0.3">
      <c r="P119" s="23" t="s">
        <v>19</v>
      </c>
      <c r="Q119" t="s">
        <v>108</v>
      </c>
      <c r="R119">
        <v>295</v>
      </c>
      <c r="U119" s="23" t="s">
        <v>19</v>
      </c>
      <c r="V119" t="s">
        <v>108</v>
      </c>
      <c r="X119">
        <v>20939.600000000002</v>
      </c>
    </row>
    <row r="120" spans="16:24" x14ac:dyDescent="0.3">
      <c r="P120" s="23" t="s">
        <v>19</v>
      </c>
      <c r="Q120" t="s">
        <v>110</v>
      </c>
      <c r="R120">
        <v>195</v>
      </c>
      <c r="U120" s="23" t="s">
        <v>19</v>
      </c>
      <c r="V120" t="s">
        <v>110</v>
      </c>
      <c r="X120">
        <v>10185.899999999996</v>
      </c>
    </row>
    <row r="121" spans="16:24" x14ac:dyDescent="0.3">
      <c r="P121" s="23" t="s">
        <v>19</v>
      </c>
      <c r="Q121" t="s">
        <v>292</v>
      </c>
      <c r="R121">
        <v>20</v>
      </c>
      <c r="U121" s="23" t="s">
        <v>19</v>
      </c>
      <c r="V121" t="s">
        <v>292</v>
      </c>
      <c r="X121">
        <v>958.7</v>
      </c>
    </row>
    <row r="122" spans="16:24" x14ac:dyDescent="0.3">
      <c r="P122" s="23" t="s">
        <v>19</v>
      </c>
      <c r="Q122" t="s">
        <v>79</v>
      </c>
      <c r="R122">
        <v>6</v>
      </c>
      <c r="U122" s="23" t="s">
        <v>19</v>
      </c>
      <c r="V122" t="s">
        <v>79</v>
      </c>
      <c r="X122">
        <v>323</v>
      </c>
    </row>
    <row r="123" spans="16:24" x14ac:dyDescent="0.3">
      <c r="P123" s="23" t="s">
        <v>19</v>
      </c>
      <c r="Q123" t="s">
        <v>608</v>
      </c>
      <c r="R123">
        <v>5</v>
      </c>
      <c r="U123" s="23" t="s">
        <v>19</v>
      </c>
      <c r="V123" t="s">
        <v>608</v>
      </c>
      <c r="X123">
        <v>167.70000000000002</v>
      </c>
    </row>
    <row r="124" spans="16:24" x14ac:dyDescent="0.3">
      <c r="P124" s="23" t="s">
        <v>19</v>
      </c>
      <c r="Q124" t="s">
        <v>113</v>
      </c>
      <c r="R124">
        <v>94</v>
      </c>
      <c r="U124" s="23" t="s">
        <v>19</v>
      </c>
      <c r="V124" t="s">
        <v>113</v>
      </c>
      <c r="X124">
        <v>3978.5</v>
      </c>
    </row>
    <row r="125" spans="16:24" x14ac:dyDescent="0.3">
      <c r="P125" s="23" t="s">
        <v>19</v>
      </c>
      <c r="Q125" t="s">
        <v>997</v>
      </c>
      <c r="R125">
        <v>28</v>
      </c>
      <c r="U125" s="23" t="s">
        <v>19</v>
      </c>
      <c r="V125" t="s">
        <v>997</v>
      </c>
      <c r="X125">
        <v>1405</v>
      </c>
    </row>
    <row r="126" spans="16:24" x14ac:dyDescent="0.3">
      <c r="P126" s="23" t="s">
        <v>19</v>
      </c>
      <c r="Q126" t="s">
        <v>82</v>
      </c>
      <c r="R126">
        <v>179</v>
      </c>
      <c r="U126" s="23" t="s">
        <v>19</v>
      </c>
      <c r="V126" t="s">
        <v>82</v>
      </c>
      <c r="X126">
        <v>9869.0999999999985</v>
      </c>
    </row>
    <row r="127" spans="16:24" x14ac:dyDescent="0.3">
      <c r="P127" s="23" t="s">
        <v>19</v>
      </c>
      <c r="Q127" t="s">
        <v>243</v>
      </c>
      <c r="R127">
        <v>15</v>
      </c>
      <c r="U127" s="23" t="s">
        <v>19</v>
      </c>
      <c r="V127" t="s">
        <v>243</v>
      </c>
      <c r="X127">
        <v>615.29999999999995</v>
      </c>
    </row>
    <row r="128" spans="16:24" x14ac:dyDescent="0.3">
      <c r="P128" s="20" t="s">
        <v>19</v>
      </c>
      <c r="Q128" t="s">
        <v>1911</v>
      </c>
      <c r="R128">
        <v>3</v>
      </c>
      <c r="U128" s="20" t="s">
        <v>19</v>
      </c>
      <c r="V128" t="s">
        <v>1911</v>
      </c>
      <c r="X128">
        <v>285</v>
      </c>
    </row>
    <row r="129" spans="16:24" x14ac:dyDescent="0.3">
      <c r="P129" s="13" t="s">
        <v>2554</v>
      </c>
      <c r="Q129" s="13"/>
      <c r="R129" s="13">
        <v>11997</v>
      </c>
      <c r="U129" s="13" t="s">
        <v>2554</v>
      </c>
      <c r="V129" s="13"/>
      <c r="X129" s="13">
        <v>649019.79999999981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workbookViewId="0">
      <selection activeCell="B8" sqref="B8"/>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E6" sqref="AE6"/>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B18" sqref="B18"/>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Sheet3</vt:lpstr>
      <vt:lpstr>Sheet4</vt:lpstr>
      <vt:lpstr>Sheet5</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Narendra Gandi</cp:lastModifiedBy>
  <dcterms:created xsi:type="dcterms:W3CDTF">2025-06-13T02:42:26Z</dcterms:created>
  <dcterms:modified xsi:type="dcterms:W3CDTF">2026-03-16T18:52:14Z</dcterms:modified>
</cp:coreProperties>
</file>